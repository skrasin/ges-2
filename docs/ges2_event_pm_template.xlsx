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Легенда" sheetId="1" state="visible" r:id="rId1"/>
    <sheet name="Реестр событий" sheetId="2" state="visible" r:id="rId2"/>
    <sheet name="Этапы по трекам" sheetId="3" state="visible" r:id="rId3"/>
    <sheet name="RACI" sheetId="4" state="visible" r:id="rId4"/>
    <sheet name="Дашборд" sheetId="5" state="visible" r:id="rId5"/>
  </sheets>
  <definedNames>
    <definedName name="_xlnm._FilterDatabase" localSheetId="1" hidden="1">'Реестр событий'!$A$1:$S$1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2A44"/>
      <sz val="16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1F2A44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006100"/>
      <sz val="10"/>
    </font>
    <font>
      <name val="Arial"/>
      <charset val="1"/>
      <family val="0"/>
      <color rgb="FF9C6500"/>
      <sz val="10"/>
    </font>
    <font>
      <name val="Arial"/>
      <charset val="1"/>
      <family val="0"/>
      <color rgb="FF9C0006"/>
      <sz val="10"/>
    </font>
    <font>
      <name val="Arial"/>
      <charset val="1"/>
      <family val="0"/>
      <color rgb="FF808080"/>
      <sz val="10"/>
    </font>
    <font>
      <name val="Arial"/>
      <charset val="1"/>
      <family val="0"/>
      <b val="1"/>
      <color rgb="FFFFFFFF"/>
      <sz val="11"/>
    </font>
    <font>
      <name val="Arial"/>
      <b val="1"/>
      <color rgb="FF000000"/>
      <sz val="16"/>
    </font>
    <font>
      <name val="Arial"/>
      <i val="1"/>
      <color rgb="FF6B6862"/>
      <sz val="10"/>
    </font>
    <font>
      <name val="Arial"/>
      <b val="1"/>
      <color rgb="FF000000"/>
      <sz val="11"/>
    </font>
    <font>
      <name val="Arial"/>
      <color rgb="FF2F6B3D"/>
      <sz val="10"/>
    </font>
    <font>
      <name val="Arial"/>
      <color rgb="FF9C6B0B"/>
      <sz val="10"/>
    </font>
    <font>
      <name val="Arial"/>
      <color rgb="FFB23A00"/>
      <sz val="10"/>
    </font>
    <font>
      <name val="Arial"/>
      <color rgb="FF9C9A91"/>
      <sz val="10"/>
    </font>
  </fonts>
  <fills count="15">
    <fill>
      <patternFill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D9E1F2"/>
      </patternFill>
    </fill>
    <fill>
      <patternFill patternType="solid">
        <fgColor rgb="FFF2F2F2"/>
        <bgColor rgb="FFFFFFFF"/>
      </patternFill>
    </fill>
    <fill>
      <patternFill patternType="solid">
        <fgColor rgb="FF1F2A44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EEEEEE"/>
      </patternFill>
    </fill>
    <fill>
      <patternFill patternType="solid">
        <fgColor rgb="FFE7EFE5"/>
      </patternFill>
    </fill>
    <fill>
      <patternFill patternType="solid">
        <fgColor rgb="FFF5EDDB"/>
      </patternFill>
    </fill>
    <fill>
      <patternFill patternType="solid">
        <fgColor rgb="FFF5E4DB"/>
      </patternFill>
    </fill>
    <fill>
      <patternFill patternType="solid">
        <fgColor rgb="FFF1EFE9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0" fontId="12" fillId="6" borderId="0" applyAlignment="1" pivotButton="0" quotePrefix="0" xfId="0">
      <alignment horizontal="general" vertical="bottom"/>
    </xf>
    <xf numFmtId="0" fontId="13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general" vertical="center"/>
    </xf>
    <xf numFmtId="0" fontId="8" fillId="8" borderId="1" applyAlignment="1" pivotButton="0" quotePrefix="0" xfId="0">
      <alignment horizontal="general" vertical="center" wrapText="1"/>
    </xf>
    <xf numFmtId="164" fontId="8" fillId="8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general" vertical="bottom"/>
    </xf>
    <xf numFmtId="164" fontId="8" fillId="8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13" fillId="7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0" fontId="12" fillId="6" borderId="0" applyAlignment="1" pivotButton="0" quotePrefix="0" xfId="0">
      <alignment horizontal="general" vertical="bottom"/>
    </xf>
    <xf numFmtId="0" fontId="13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general" vertical="center"/>
    </xf>
    <xf numFmtId="0" fontId="8" fillId="8" borderId="1" applyAlignment="1" pivotButton="0" quotePrefix="0" xfId="0">
      <alignment horizontal="general" vertical="center" wrapText="1"/>
    </xf>
    <xf numFmtId="164" fontId="8" fillId="8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general" vertical="bottom"/>
    </xf>
    <xf numFmtId="164" fontId="8" fillId="8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 wrapText="1"/>
    </xf>
    <xf numFmtId="0" fontId="13" fillId="7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9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17" fillId="10" borderId="0" applyAlignment="1" pivotButton="0" quotePrefix="0" xfId="0">
      <alignment horizontal="general" vertical="bottom"/>
    </xf>
    <xf numFmtId="0" fontId="18" fillId="11" borderId="0" applyAlignment="1" pivotButton="0" quotePrefix="0" xfId="0">
      <alignment horizontal="general" vertical="bottom"/>
    </xf>
    <xf numFmtId="0" fontId="19" fillId="12" borderId="0" applyAlignment="1" pivotButton="0" quotePrefix="0" xfId="0">
      <alignment horizontal="general" vertical="bottom"/>
    </xf>
    <xf numFmtId="0" fontId="20" fillId="13" borderId="0" applyAlignment="1" pivotButton="0" quotePrefix="0" xfId="0">
      <alignment horizontal="general" vertical="bottom"/>
    </xf>
    <xf numFmtId="0" fontId="13" fillId="14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general" vertical="bottom"/>
    </xf>
    <xf numFmtId="0" fontId="8" fillId="10" borderId="0" applyAlignment="1" pivotButton="0" quotePrefix="0" xfId="0">
      <alignment horizontal="general" vertical="bottom"/>
    </xf>
    <xf numFmtId="0" fontId="8" fillId="11" borderId="0" applyAlignment="1" pivotButton="0" quotePrefix="0" xfId="0">
      <alignment horizontal="general" vertical="bottom"/>
    </xf>
    <xf numFmtId="0" fontId="8" fillId="1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2A4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color rgb="FF2F6B3D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6B0B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B23A00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9C9A91"/>
        <sz val="10"/>
      </font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1" min="1" max="1"/>
    <col width="34" customWidth="1" style="31" min="2" max="2"/>
    <col width="90" customWidth="1" style="31" min="3" max="3"/>
  </cols>
  <sheetData>
    <row r="1"/>
    <row r="2" ht="19.7" customHeight="1" s="32">
      <c r="B2" s="61" t="inlineStr">
        <is>
          <t>Управление событиями ГЭС-2 — рабочий шаблон</t>
        </is>
      </c>
    </row>
    <row r="3" ht="15" customHeight="1" s="32">
      <c r="B3" s="62" t="inlineStr">
        <is>
          <t>Реестр событий + треки жизненного цикла + RACI + дашборд статусов. Данные на 09.08.2026.</t>
        </is>
      </c>
    </row>
    <row r="4"/>
    <row r="5" ht="15" customHeight="1" s="32">
      <c r="B5" s="63" t="inlineStr">
        <is>
          <t>Как устроен файл</t>
        </is>
      </c>
      <c r="C5" s="64" t="n"/>
    </row>
    <row r="6" ht="15" customHeight="1" s="32">
      <c r="B6" s="37" t="inlineStr">
        <is>
          <t>Реестр событий</t>
        </is>
      </c>
      <c r="C6" s="38" t="inlineStr">
        <is>
          <t>Главный лист. Одна строка = одно событие. Здесь заполняются карточка события и статусы отделов.</t>
        </is>
      </c>
    </row>
    <row r="7" ht="23.85" customHeight="1" s="32">
      <c r="B7" s="37" t="inlineStr">
        <is>
          <t>Этапы по трекам</t>
        </is>
      </c>
      <c r="C7" s="38" t="inlineStr">
        <is>
          <t>Справочник: какие этапы проходит событие в зависимости от трека сложности и в какие сроки (T-минус дней до события).</t>
        </is>
      </c>
    </row>
    <row r="8" ht="23.85" customHeight="1" s="32">
      <c r="B8" s="37" t="inlineStr">
        <is>
          <t>RACI</t>
        </is>
      </c>
      <c r="C8" s="38" t="inlineStr">
        <is>
          <t>Кто Ответственный / кто Согласует / с кем Консультируются / кого Информируют — по каждому этапу, отдельно для каждого трека.</t>
        </is>
      </c>
    </row>
    <row r="9" ht="23.85" customHeight="1" s="32">
      <c r="B9" s="37" t="inlineStr">
        <is>
          <t>Дашборд</t>
        </is>
      </c>
      <c r="C9" s="38" t="inlineStr">
        <is>
          <t>Автосводка по всем событиям реестра: сколько событий в каком статусе, по трекам, у кого больше всего 'красных' зон.</t>
        </is>
      </c>
    </row>
    <row r="10"/>
    <row r="11" ht="15" customHeight="1" s="32">
      <c r="B11" s="63" t="inlineStr">
        <is>
          <t>Что редактировать</t>
        </is>
      </c>
      <c r="C11" s="64" t="n"/>
    </row>
    <row r="12" ht="30" customHeight="1" s="32">
      <c r="B12" s="39" t="inlineStr">
        <is>
          <t>•</t>
        </is>
      </c>
      <c r="C12" s="38" t="inlineStr">
        <is>
          <t>Жёлтая заливка = ячейки, которые нужно заполнять/проверять вручную. 'T-минус' и 'Общий статус' считаются формулой и не редактируются.</t>
        </is>
      </c>
    </row>
    <row r="13" ht="30" customHeight="1" s="32">
      <c r="B13" s="39" t="inlineStr">
        <is>
          <t>•</t>
        </is>
      </c>
      <c r="C13" s="38" t="inlineStr">
        <is>
          <t>В 'Реестре событий' выбор значений — через выпадающие списки (Категория, Трек, Текущий этап, все статусные столбцы).</t>
        </is>
      </c>
    </row>
    <row r="14" ht="30" customHeight="1" s="32">
      <c r="B14" s="39" t="inlineStr">
        <is>
          <t>•</t>
        </is>
      </c>
      <c r="C14" s="38" t="inlineStr">
        <is>
          <t>Реестр заполнен 72 событиями из calendar2026.xlsx (данные сайта ges-2.org на 09.08.2026, до конца 2026 года). Категория определена автоматически по подтипу события (справочник ges2-categorii-sobytiy.md), Трек — по категории + признаку 'Платно' + ключевым словам (например, 'Саундсистем').</t>
        </is>
      </c>
    </row>
    <row r="15" ht="30" customHeight="1" s="32">
      <c r="B15" s="39" t="inlineStr">
        <is>
          <t>•</t>
        </is>
      </c>
      <c r="C15" s="38" t="inlineStr">
        <is>
          <t>Столбцы 'Продюсер' и все статусы по отделам (Продакшн…Охрана) — пустые: календарь с сайта не содержит эту информацию, её нужно проставить вручную по мере включения события в операционную работу.</t>
        </is>
      </c>
    </row>
    <row r="16" ht="30" customHeight="1" s="32">
      <c r="B16" s="39" t="inlineStr">
        <is>
          <t>•</t>
        </is>
      </c>
      <c r="C16" s="38" t="inlineStr">
        <is>
          <t>'Текущий этап' — авто-расчёт по датам события и T-минус срокам трека (см. 'Этапы по трекам'): это стартовая подсказка, не подтверждённый факт готовности — сверьте с реальным состоянием подготовки.</t>
        </is>
      </c>
    </row>
    <row r="17" ht="30" customHeight="1" s="32">
      <c r="B17" s="39" t="inlineStr">
        <is>
          <t>•</t>
        </is>
      </c>
      <c r="C17" s="38" t="inlineStr">
        <is>
          <t>Сроки (T-минус) в листе 'Этапы по трекам' и состав RACI — заданы как рабочая гипотеза по умолчанию. Их нужно свериться и поправить под реальные регламенты отделов — это не факты ГЭС-2, а предлагаемая стартовая логика.</t>
        </is>
      </c>
    </row>
    <row r="18"/>
    <row r="19" ht="15" customHeight="1" s="32">
      <c r="B19" s="63" t="inlineStr">
        <is>
          <t>Цветовой код статусов (столбцы I:N и 'Общий статус' в Реестре)</t>
        </is>
      </c>
      <c r="C19" s="64" t="n"/>
    </row>
    <row r="20" ht="15" customHeight="1" s="32">
      <c r="B20" s="65" t="inlineStr">
        <is>
          <t>Зелёный</t>
        </is>
      </c>
      <c r="C20" s="39" t="inlineStr">
        <is>
          <t>Этап идёт по плану</t>
        </is>
      </c>
    </row>
    <row r="21" ht="15" customHeight="1" s="32">
      <c r="B21" s="66" t="inlineStr">
        <is>
          <t>Жёлтый</t>
        </is>
      </c>
      <c r="C21" s="39" t="inlineStr">
        <is>
          <t>Есть риск срыва срока/нужна помощь</t>
        </is>
      </c>
    </row>
    <row r="22" ht="15" customHeight="1" s="32">
      <c r="B22" s="67" t="inlineStr">
        <is>
          <t>Красный</t>
        </is>
      </c>
      <c r="C22" s="39" t="inlineStr">
        <is>
          <t>Срыв срока / блокер, нужна эскалация</t>
        </is>
      </c>
    </row>
    <row r="23" ht="15" customHeight="1" s="32">
      <c r="B23" s="37" t="inlineStr">
        <is>
          <t>Не начат</t>
        </is>
      </c>
      <c r="C23" s="39" t="inlineStr">
        <is>
          <t>Этап ещё не наступил по плану</t>
        </is>
      </c>
    </row>
    <row r="24" ht="15" customHeight="1" s="32">
      <c r="B24" s="68" t="inlineStr">
        <is>
          <t>Н/Д</t>
        </is>
      </c>
      <c r="C24" s="39" t="inlineStr">
        <is>
          <t>Отдел не участвует в этом событии</t>
        </is>
      </c>
    </row>
    <row r="25"/>
    <row r="26" ht="15" customHeight="1" s="32">
      <c r="B26" s="63" t="inlineStr">
        <is>
          <t>Треки сложности (зачем они)</t>
        </is>
      </c>
      <c r="C26" s="64" t="n"/>
    </row>
    <row r="27" ht="30" customHeight="1" s="32">
      <c r="B27" s="37" t="inlineStr">
        <is>
          <t>Лёгкий / Средний / Тяжёлый</t>
        </is>
      </c>
      <c r="C27" s="38" t="inlineStr">
        <is>
          <t>При ~2000 событий/год гнать всё через один тяжёлый процесс нецелесообразно. Трек задаёт, какие этапы и отделы обязательны — см. 'Этапы по трекам' и 'RACI'.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4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31" min="1" max="1"/>
    <col width="34" customWidth="1" style="31" min="2" max="2"/>
    <col width="18" customWidth="1" style="31" min="3" max="3"/>
    <col width="12" customWidth="1" style="31" min="4" max="4"/>
    <col width="13" customWidth="1" style="31" min="5" max="6"/>
    <col width="12" customWidth="1" style="31" min="7" max="7"/>
    <col width="16" customWidth="1" style="31" min="8" max="8"/>
    <col width="24" customWidth="1" style="31" min="9" max="9"/>
    <col width="15" customWidth="1" style="31" min="10" max="10"/>
    <col width="13" customWidth="1" style="31" min="11" max="15"/>
    <col width="14" customWidth="1" style="31" min="16" max="16"/>
    <col width="9" customWidth="1" style="31" min="17" max="17"/>
    <col width="40" customWidth="1" style="31" min="18" max="18"/>
    <col width="22" customWidth="1" style="31" min="19" max="19"/>
  </cols>
  <sheetData>
    <row r="1" ht="31.5" customHeight="1" s="32">
      <c r="A1" s="69" t="inlineStr">
        <is>
          <t>ID</t>
        </is>
      </c>
      <c r="B1" s="69" t="inlineStr">
        <is>
          <t>Название события</t>
        </is>
      </c>
      <c r="C1" s="69" t="inlineStr">
        <is>
          <t>Категория</t>
        </is>
      </c>
      <c r="D1" s="69" t="inlineStr">
        <is>
          <t>Трек</t>
        </is>
      </c>
      <c r="E1" s="69" t="inlineStr">
        <is>
          <t>Дата начала</t>
        </is>
      </c>
      <c r="F1" s="69" t="inlineStr">
        <is>
          <t>Дата окончания</t>
        </is>
      </c>
      <c r="G1" s="69" t="inlineStr">
        <is>
          <t>T-минус (дней)</t>
        </is>
      </c>
      <c r="H1" s="69" t="inlineStr">
        <is>
          <t>Продюсер</t>
        </is>
      </c>
      <c r="I1" s="69" t="inlineStr">
        <is>
          <t>Текущий этап</t>
        </is>
      </c>
      <c r="J1" s="69" t="inlineStr">
        <is>
          <t>Продакшн/техника</t>
        </is>
      </c>
      <c r="K1" s="69" t="inlineStr">
        <is>
          <t>Маркетинг</t>
        </is>
      </c>
      <c r="L1" s="69" t="inlineStr">
        <is>
          <t>PR</t>
        </is>
      </c>
      <c r="M1" s="69" t="inlineStr">
        <is>
          <t>Площадка</t>
        </is>
      </c>
      <c r="N1" s="69" t="inlineStr">
        <is>
          <t>Питание</t>
        </is>
      </c>
      <c r="O1" s="69" t="inlineStr">
        <is>
          <t>Охрана</t>
        </is>
      </c>
      <c r="P1" s="69" t="inlineStr">
        <is>
          <t>Общий статус</t>
        </is>
      </c>
      <c r="Q1" s="69" t="inlineStr">
        <is>
          <t>Платно</t>
        </is>
      </c>
      <c r="R1" s="69" t="inlineStr">
        <is>
          <t>Риски / комментарий</t>
        </is>
      </c>
      <c r="S1" s="69" t="inlineStr">
        <is>
          <t>Ссылка</t>
        </is>
      </c>
    </row>
    <row r="2" ht="23.85" customHeight="1" s="32">
      <c r="A2" s="45" t="n">
        <v>1</v>
      </c>
      <c r="B2" s="46" t="inlineStr">
        <is>
          <t>Курс подготовки глухих музейных специалистов</t>
        </is>
      </c>
      <c r="C2" s="45" t="inlineStr">
        <is>
          <t>Лекция</t>
        </is>
      </c>
      <c r="D2" s="45" t="inlineStr">
        <is>
          <t>Лёгкий</t>
        </is>
      </c>
      <c r="E2" s="47" t="n">
        <v>45931</v>
      </c>
      <c r="F2" s="47" t="n">
        <v>46265</v>
      </c>
      <c r="G2" s="48">
        <f>E2-TODAY()</f>
        <v/>
      </c>
      <c r="H2" s="45" t="n"/>
      <c r="I2" s="48" t="inlineStr">
        <is>
          <t>Проведение</t>
        </is>
      </c>
      <c r="J2" s="48" t="n"/>
      <c r="K2" s="48" t="n"/>
      <c r="L2" s="48" t="n"/>
      <c r="M2" s="48" t="n"/>
      <c r="N2" s="48" t="n"/>
      <c r="O2" s="48" t="n"/>
      <c r="P2" s="49">
        <f>IF(COUNTBLANK(J2:O2)=6,"",IF(COUNTIF(J2:O2,"Красный")&gt;0,"Красный",IF(COUNTIF(J2:O2,"Жёлтый")&gt;0,"Жёлтый",IF(COUNTIF(J2:O2,"Не начат")&gt;0,"Не начат","Зелёный"))))</f>
        <v/>
      </c>
      <c r="Q2" s="45" t="inlineStr">
        <is>
          <t>Нет</t>
        </is>
      </c>
      <c r="R2" s="46" t="n"/>
      <c r="S2" s="48" t="inlineStr">
        <is>
          <t>https://ges-2.org/training-course-for-deaf-museum-professionals</t>
        </is>
      </c>
    </row>
    <row r="3" ht="23.85" customHeight="1" s="32">
      <c r="A3" s="45" t="n">
        <v>2</v>
      </c>
      <c r="B3" s="46" t="inlineStr">
        <is>
          <t>Хадзар мечты</t>
        </is>
      </c>
      <c r="C3" s="45" t="inlineStr">
        <is>
          <t>Медиаторский тур</t>
        </is>
      </c>
      <c r="D3" s="45" t="inlineStr">
        <is>
          <t>Лёгкий</t>
        </is>
      </c>
      <c r="E3" s="47" t="n">
        <v>46135</v>
      </c>
      <c r="F3" s="47" t="n">
        <v>46278</v>
      </c>
      <c r="G3" s="48">
        <f>E3-TODAY()</f>
        <v/>
      </c>
      <c r="H3" s="45" t="n"/>
      <c r="I3" s="48" t="inlineStr">
        <is>
          <t>Проведение</t>
        </is>
      </c>
      <c r="J3" s="48" t="n"/>
      <c r="K3" s="48" t="n"/>
      <c r="L3" s="48" t="n"/>
      <c r="M3" s="48" t="n"/>
      <c r="N3" s="48" t="n"/>
      <c r="O3" s="48" t="n"/>
      <c r="P3" s="49">
        <f>IF(COUNTBLANK(J3:O3)=6,"",IF(COUNTIF(J3:O3,"Красный")&gt;0,"Красный",IF(COUNTIF(J3:O3,"Жёлтый")&gt;0,"Жёлтый",IF(COUNTIF(J3:O3,"Не начат")&gt;0,"Не начат","Зелёный"))))</f>
        <v/>
      </c>
      <c r="Q3" s="45" t="inlineStr">
        <is>
          <t>Нет</t>
        </is>
      </c>
      <c r="R3" s="46" t="inlineStr">
        <is>
          <t>Выставка закрывается 13.09 — почти одновременно с «Москва — Ханой» (20.09).</t>
        </is>
      </c>
      <c r="S3" s="48" t="inlineStr">
        <is>
          <t>https://ges-2.org/khadzar-of-dreams-mediated-tour</t>
        </is>
      </c>
    </row>
    <row r="4" ht="23.85" customHeight="1" s="32">
      <c r="A4" s="45" t="n">
        <v>3</v>
      </c>
      <c r="B4" s="46" t="inlineStr">
        <is>
          <t>Хадзар мечты</t>
        </is>
      </c>
      <c r="C4" s="45" t="inlineStr">
        <is>
          <t>Выставка</t>
        </is>
      </c>
      <c r="D4" s="45" t="inlineStr">
        <is>
          <t>Тяжёлый</t>
        </is>
      </c>
      <c r="E4" s="47" t="n">
        <v>46135</v>
      </c>
      <c r="F4" s="47" t="n">
        <v>46278</v>
      </c>
      <c r="G4" s="48">
        <f>E4-TODAY()</f>
        <v/>
      </c>
      <c r="H4" s="45" t="n"/>
      <c r="I4" s="48" t="inlineStr">
        <is>
          <t>Проведение</t>
        </is>
      </c>
      <c r="J4" s="48" t="n"/>
      <c r="K4" s="48" t="n"/>
      <c r="L4" s="48" t="n"/>
      <c r="M4" s="48" t="n"/>
      <c r="N4" s="48" t="n"/>
      <c r="O4" s="48" t="n"/>
      <c r="P4" s="49">
        <f>IF(COUNTBLANK(J4:O4)=6,"",IF(COUNTIF(J4:O4,"Красный")&gt;0,"Красный",IF(COUNTIF(J4:O4,"Жёлтый")&gt;0,"Жёлтый",IF(COUNTIF(J4:O4,"Не начат")&gt;0,"Не начат","Зелёный"))))</f>
        <v/>
      </c>
      <c r="Q4" s="45" t="inlineStr">
        <is>
          <t>Нет</t>
        </is>
      </c>
      <c r="R4" s="46" t="inlineStr">
        <is>
          <t>Выставка закрывается 13.09 — почти одновременно с «Москва — Ханой» (20.09).</t>
        </is>
      </c>
      <c r="S4" s="48" t="inlineStr">
        <is>
          <t>https://ges-2.org/projects/khadzar-of-dreams</t>
        </is>
      </c>
    </row>
    <row r="5" ht="15" customHeight="1" s="32">
      <c r="A5" s="45" t="n">
        <v>4</v>
      </c>
      <c r="B5" s="46" t="inlineStr">
        <is>
          <t>Лес, полный красот и чудес</t>
        </is>
      </c>
      <c r="C5" s="45" t="inlineStr">
        <is>
          <t>Прочее</t>
        </is>
      </c>
      <c r="D5" s="45" t="inlineStr">
        <is>
          <t>Лёгкий</t>
        </is>
      </c>
      <c r="E5" s="47" t="n">
        <v>46151</v>
      </c>
      <c r="F5" s="47" t="n">
        <v>46263</v>
      </c>
      <c r="G5" s="48">
        <f>E5-TODAY()</f>
        <v/>
      </c>
      <c r="H5" s="45" t="n"/>
      <c r="I5" s="48" t="inlineStr">
        <is>
          <t>Проведение</t>
        </is>
      </c>
      <c r="J5" s="48" t="n"/>
      <c r="K5" s="48" t="n"/>
      <c r="L5" s="48" t="n"/>
      <c r="M5" s="48" t="n"/>
      <c r="N5" s="48" t="n"/>
      <c r="O5" s="48" t="n"/>
      <c r="P5" s="49">
        <f>IF(COUNTBLANK(J5:O5)=6,"",IF(COUNTIF(J5:O5,"Красный")&gt;0,"Красный",IF(COUNTIF(J5:O5,"Жёлтый")&gt;0,"Жёлтый",IF(COUNTIF(J5:O5,"Не начат")&gt;0,"Не начат","Зелёный"))))</f>
        <v/>
      </c>
      <c r="Q5" s="45" t="inlineStr">
        <is>
          <t>Нет</t>
        </is>
      </c>
      <c r="R5" s="46" t="n"/>
      <c r="S5" s="48" t="inlineStr">
        <is>
          <t>https://ges-2.org/forest-full-of-beauty-and-wonders</t>
        </is>
      </c>
    </row>
    <row r="6" ht="35.05" customHeight="1" s="32">
      <c r="A6" s="45" t="n">
        <v>5</v>
      </c>
      <c r="B6" s="46" t="inlineStr">
        <is>
          <t>Москва — Ханой. Ландшафты оптимизма</t>
        </is>
      </c>
      <c r="C6" s="45" t="inlineStr">
        <is>
          <t>Выставка</t>
        </is>
      </c>
      <c r="D6" s="45" t="inlineStr">
        <is>
          <t>Тяжёлый</t>
        </is>
      </c>
      <c r="E6" s="47" t="n">
        <v>46163</v>
      </c>
      <c r="F6" s="47" t="n">
        <v>46285</v>
      </c>
      <c r="G6" s="48">
        <f>E6-TODAY()</f>
        <v/>
      </c>
      <c r="H6" s="45" t="n"/>
      <c r="I6" s="48" t="inlineStr">
        <is>
          <t>Проведение</t>
        </is>
      </c>
      <c r="J6" s="48" t="n"/>
      <c r="K6" s="48" t="n"/>
      <c r="L6" s="48" t="n"/>
      <c r="M6" s="48" t="n"/>
      <c r="N6" s="48" t="n"/>
      <c r="O6" s="48" t="n"/>
      <c r="P6" s="49">
        <f>IF(COUNTBLANK(J6:O6)=6,"",IF(COUNTIF(J6:O6,"Красный")&gt;0,"Красный",IF(COUNTIF(J6:O6,"Жёлтый")&gt;0,"Жёлтый",IF(COUNTIF(J6:O6,"Не начат")&gt;0,"Не начат","Зелёный"))))</f>
        <v/>
      </c>
      <c r="Q6" s="45" t="inlineStr">
        <is>
          <t>Нет</t>
        </is>
      </c>
      <c r="R6" s="46" t="inlineStr">
        <is>
          <t>Закрытие 20.09 — окно на монтаж следующей выставки («Натюрморт…», открытие 15.10) около месяца.</t>
        </is>
      </c>
      <c r="S6" s="48" t="inlineStr">
        <is>
          <t>https://ges-2.org/projects/moscow-hanoi-landscapes-of-optimism</t>
        </is>
      </c>
    </row>
    <row r="7" ht="35.05" customHeight="1" s="32">
      <c r="A7" s="45" t="n">
        <v>6</v>
      </c>
      <c r="B7" s="46" t="inlineStr">
        <is>
          <t>Москва — Ханой. Ландшафты оптимизма</t>
        </is>
      </c>
      <c r="C7" s="45" t="inlineStr">
        <is>
          <t>Медиаторский тур</t>
        </is>
      </c>
      <c r="D7" s="45" t="inlineStr">
        <is>
          <t>Лёгкий</t>
        </is>
      </c>
      <c r="E7" s="47" t="n">
        <v>46163</v>
      </c>
      <c r="F7" s="47" t="n">
        <v>46285</v>
      </c>
      <c r="G7" s="48">
        <f>E7-TODAY()</f>
        <v/>
      </c>
      <c r="H7" s="45" t="n"/>
      <c r="I7" s="48" t="inlineStr">
        <is>
          <t>Проведение</t>
        </is>
      </c>
      <c r="J7" s="48" t="n"/>
      <c r="K7" s="48" t="n"/>
      <c r="L7" s="48" t="n"/>
      <c r="M7" s="48" t="n"/>
      <c r="N7" s="48" t="n"/>
      <c r="O7" s="48" t="n"/>
      <c r="P7" s="49">
        <f>IF(COUNTBLANK(J7:O7)=6,"",IF(COUNTIF(J7:O7,"Красный")&gt;0,"Красный",IF(COUNTIF(J7:O7,"Жёлтый")&gt;0,"Жёлтый",IF(COUNTIF(J7:O7,"Не начат")&gt;0,"Не начат","Зелёный"))))</f>
        <v/>
      </c>
      <c r="Q7" s="45" t="inlineStr">
        <is>
          <t>Нет</t>
        </is>
      </c>
      <c r="R7" s="46" t="inlineStr">
        <is>
          <t>Закрытие 20.09 — окно на монтаж следующей выставки («Натюрморт…», открытие 15.10) около месяца.</t>
        </is>
      </c>
      <c r="S7" s="48" t="inlineStr">
        <is>
          <t>https://ges-2.org/moscow-hanoi-landscapes-of-optimism-mediated-tour</t>
        </is>
      </c>
    </row>
    <row r="8" ht="15" customHeight="1" s="32">
      <c r="A8" s="45" t="n">
        <v>7</v>
      </c>
      <c r="B8" s="46" t="inlineStr">
        <is>
          <t>Игры на лужайке</t>
        </is>
      </c>
      <c r="C8" s="45" t="inlineStr">
        <is>
          <t>Прочее</t>
        </is>
      </c>
      <c r="D8" s="45" t="inlineStr">
        <is>
          <t>Лёгкий</t>
        </is>
      </c>
      <c r="E8" s="47" t="n">
        <v>46172</v>
      </c>
      <c r="F8" s="47" t="n">
        <v>46296</v>
      </c>
      <c r="G8" s="48">
        <f>E8-TODAY()</f>
        <v/>
      </c>
      <c r="H8" s="45" t="n"/>
      <c r="I8" s="48" t="inlineStr">
        <is>
          <t>Проведение</t>
        </is>
      </c>
      <c r="J8" s="48" t="n"/>
      <c r="K8" s="48" t="n"/>
      <c r="L8" s="48" t="n"/>
      <c r="M8" s="48" t="n"/>
      <c r="N8" s="48" t="n"/>
      <c r="O8" s="48" t="n"/>
      <c r="P8" s="49">
        <f>IF(COUNTBLANK(J8:O8)=6,"",IF(COUNTIF(J8:O8,"Красный")&gt;0,"Красный",IF(COUNTIF(J8:O8,"Жёлтый")&gt;0,"Жёлтый",IF(COUNTIF(J8:O8,"Не начат")&gt;0,"Не начат","Зелёный"))))</f>
        <v/>
      </c>
      <c r="Q8" s="45" t="inlineStr">
        <is>
          <t>Нет</t>
        </is>
      </c>
      <c r="R8" s="46" t="n"/>
      <c r="S8" s="48" t="inlineStr">
        <is>
          <t>https://ges-2.org/lawn-games</t>
        </is>
      </c>
    </row>
    <row r="9" ht="23.85" customHeight="1" s="32">
      <c r="A9" s="45" t="n">
        <v>8</v>
      </c>
      <c r="B9" s="46" t="inlineStr">
        <is>
          <t>Фотооснова. Лаборатория печатных практик для художников</t>
        </is>
      </c>
      <c r="C9" s="45" t="inlineStr">
        <is>
          <t>Прочее</t>
        </is>
      </c>
      <c r="D9" s="45" t="inlineStr">
        <is>
          <t>Лёгкий</t>
        </is>
      </c>
      <c r="E9" s="47" t="n">
        <v>46174</v>
      </c>
      <c r="F9" s="47" t="n">
        <v>46325</v>
      </c>
      <c r="G9" s="48">
        <f>E9-TODAY()</f>
        <v/>
      </c>
      <c r="H9" s="45" t="n"/>
      <c r="I9" s="48" t="inlineStr">
        <is>
          <t>Проведение</t>
        </is>
      </c>
      <c r="J9" s="48" t="n"/>
      <c r="K9" s="48" t="n"/>
      <c r="L9" s="48" t="n"/>
      <c r="M9" s="48" t="n"/>
      <c r="N9" s="48" t="n"/>
      <c r="O9" s="48" t="n"/>
      <c r="P9" s="49">
        <f>IF(COUNTBLANK(J9:O9)=6,"",IF(COUNTIF(J9:O9,"Красный")&gt;0,"Красный",IF(COUNTIF(J9:O9,"Жёлтый")&gt;0,"Жёлтый",IF(COUNTIF(J9:O9,"Не начат")&gt;0,"Не начат","Зелёный"))))</f>
        <v/>
      </c>
      <c r="Q9" s="45" t="inlineStr">
        <is>
          <t>Нет</t>
        </is>
      </c>
      <c r="R9" s="46" t="n"/>
      <c r="S9" s="48" t="inlineStr">
        <is>
          <t>https://ges-2.org/photo-basis-printmaking-practices-lab-for-artists</t>
        </is>
      </c>
    </row>
    <row r="10" ht="15" customHeight="1" s="32">
      <c r="A10" s="45" t="n">
        <v>9</v>
      </c>
      <c r="B10" s="46" t="inlineStr">
        <is>
          <t>Как тебе тут?</t>
        </is>
      </c>
      <c r="C10" s="45" t="inlineStr">
        <is>
          <t>Прочее</t>
        </is>
      </c>
      <c r="D10" s="45" t="inlineStr">
        <is>
          <t>Лёгкий</t>
        </is>
      </c>
      <c r="E10" s="47" t="n">
        <v>46175</v>
      </c>
      <c r="F10" s="47" t="n">
        <v>46285</v>
      </c>
      <c r="G10" s="48">
        <f>E10-TODAY()</f>
        <v/>
      </c>
      <c r="H10" s="45" t="n"/>
      <c r="I10" s="48" t="inlineStr">
        <is>
          <t>Проведение</t>
        </is>
      </c>
      <c r="J10" s="48" t="n"/>
      <c r="K10" s="48" t="n"/>
      <c r="L10" s="48" t="n"/>
      <c r="M10" s="48" t="n"/>
      <c r="N10" s="48" t="n"/>
      <c r="O10" s="48" t="n"/>
      <c r="P10" s="49">
        <f>IF(COUNTBLANK(J10:O10)=6,"",IF(COUNTIF(J10:O10,"Красный")&gt;0,"Красный",IF(COUNTIF(J10:O10,"Жёлтый")&gt;0,"Жёлтый",IF(COUNTIF(J10:O10,"Не начат")&gt;0,"Не начат","Зелёный"))))</f>
        <v/>
      </c>
      <c r="Q10" s="45" t="inlineStr">
        <is>
          <t>Нет</t>
        </is>
      </c>
      <c r="R10" s="46" t="n"/>
      <c r="S10" s="48" t="inlineStr">
        <is>
          <t>https://ges-2.org/how-do-you-like-it-here</t>
        </is>
      </c>
    </row>
    <row r="11" ht="23.85" customHeight="1" s="32">
      <c r="A11" s="45" t="n">
        <v>10</v>
      </c>
      <c r="B11" s="46" t="inlineStr">
        <is>
          <t>Весь мир здесь обретает дом: по следам Тагора</t>
        </is>
      </c>
      <c r="C11" s="45" t="inlineStr">
        <is>
          <t>Выставка</t>
        </is>
      </c>
      <c r="D11" s="45" t="inlineStr">
        <is>
          <t>Тяжёлый</t>
        </is>
      </c>
      <c r="E11" s="47" t="n">
        <v>46198</v>
      </c>
      <c r="F11" s="47" t="n">
        <v>46257</v>
      </c>
      <c r="G11" s="48">
        <f>E11-TODAY()</f>
        <v/>
      </c>
      <c r="H11" s="45" t="n"/>
      <c r="I11" s="48" t="inlineStr">
        <is>
          <t>Проведение</t>
        </is>
      </c>
      <c r="J11" s="48" t="n"/>
      <c r="K11" s="48" t="n"/>
      <c r="L11" s="48" t="n"/>
      <c r="M11" s="48" t="n"/>
      <c r="N11" s="48" t="n"/>
      <c r="O11" s="48" t="n"/>
      <c r="P11" s="49">
        <f>IF(COUNTBLANK(J11:O11)=6,"",IF(COUNTIF(J11:O11,"Красный")&gt;0,"Красный",IF(COUNTIF(J11:O11,"Жёлтый")&gt;0,"Жёлтый",IF(COUNTIF(J11:O11,"Не начат")&gt;0,"Не начат","Зелёный"))))</f>
        <v/>
      </c>
      <c r="Q11" s="45" t="inlineStr">
        <is>
          <t>Нет</t>
        </is>
      </c>
      <c r="R11" s="46" t="inlineStr">
        <is>
          <t>Закрытие 23.08 — одна из трёх почти одновременно закрывающихся выставок.</t>
        </is>
      </c>
      <c r="S11" s="48" t="inlineStr">
        <is>
          <t>https://ges-2.org/projects/the-world-in-a-single-nest-following-the-way-of-tagore</t>
        </is>
      </c>
    </row>
    <row r="12" ht="15" customHeight="1" s="32">
      <c r="A12" s="45" t="n">
        <v>11</v>
      </c>
      <c r="B12" s="46" t="inlineStr">
        <is>
          <t>В тени баньяна</t>
        </is>
      </c>
      <c r="C12" s="45" t="inlineStr">
        <is>
          <t>Прочее</t>
        </is>
      </c>
      <c r="D12" s="45" t="inlineStr">
        <is>
          <t>Лёгкий</t>
        </is>
      </c>
      <c r="E12" s="47" t="n">
        <v>46198</v>
      </c>
      <c r="F12" s="47" t="n">
        <v>46257</v>
      </c>
      <c r="G12" s="48">
        <f>E12-TODAY()</f>
        <v/>
      </c>
      <c r="H12" s="45" t="n"/>
      <c r="I12" s="48" t="inlineStr">
        <is>
          <t>Проведение</t>
        </is>
      </c>
      <c r="J12" s="48" t="n"/>
      <c r="K12" s="48" t="n"/>
      <c r="L12" s="48" t="n"/>
      <c r="M12" s="48" t="n"/>
      <c r="N12" s="48" t="n"/>
      <c r="O12" s="48" t="n"/>
      <c r="P12" s="49">
        <f>IF(COUNTBLANK(J12:O12)=6,"",IF(COUNTIF(J12:O12,"Красный")&gt;0,"Красный",IF(COUNTIF(J12:O12,"Жёлтый")&gt;0,"Жёлтый",IF(COUNTIF(J12:O12,"Не начат")&gt;0,"Не начат","Зелёный"))))</f>
        <v/>
      </c>
      <c r="Q12" s="45" t="inlineStr">
        <is>
          <t>Нет</t>
        </is>
      </c>
      <c r="R12" s="46" t="n"/>
      <c r="S12" s="48" t="inlineStr">
        <is>
          <t>https://ges-2.org/in-the-shade-of-the-banyan-tree</t>
        </is>
      </c>
    </row>
    <row r="13" ht="23.85" customHeight="1" s="32">
      <c r="A13" s="45" t="n">
        <v>12</v>
      </c>
      <c r="B13" s="46" t="inlineStr">
        <is>
          <t>Весь мир здесь обретает дом: по следам Тагора</t>
        </is>
      </c>
      <c r="C13" s="45" t="inlineStr">
        <is>
          <t>Медиаторский тур</t>
        </is>
      </c>
      <c r="D13" s="45" t="inlineStr">
        <is>
          <t>Лёгкий</t>
        </is>
      </c>
      <c r="E13" s="47" t="n">
        <v>46198</v>
      </c>
      <c r="F13" s="47" t="n">
        <v>46257</v>
      </c>
      <c r="G13" s="48">
        <f>E13-TODAY()</f>
        <v/>
      </c>
      <c r="H13" s="45" t="n"/>
      <c r="I13" s="48" t="inlineStr">
        <is>
          <t>Проведение</t>
        </is>
      </c>
      <c r="J13" s="48" t="n"/>
      <c r="K13" s="48" t="n"/>
      <c r="L13" s="48" t="n"/>
      <c r="M13" s="48" t="n"/>
      <c r="N13" s="48" t="n"/>
      <c r="O13" s="48" t="n"/>
      <c r="P13" s="49">
        <f>IF(COUNTBLANK(J13:O13)=6,"",IF(COUNTIF(J13:O13,"Красный")&gt;0,"Красный",IF(COUNTIF(J13:O13,"Жёлтый")&gt;0,"Жёлтый",IF(COUNTIF(J13:O13,"Не начат")&gt;0,"Не начат","Зелёный"))))</f>
        <v/>
      </c>
      <c r="Q13" s="45" t="inlineStr">
        <is>
          <t>Нет</t>
        </is>
      </c>
      <c r="R13" s="46" t="inlineStr">
        <is>
          <t>Закрытие 23.08 — одна из трёх почти одновременно закрывающихся выставок.</t>
        </is>
      </c>
      <c r="S13" s="48" t="inlineStr">
        <is>
          <t>https://ges-2.org/the-world-in-a-single-nest-following-the-way-of-tagore-mediated-tour</t>
        </is>
      </c>
    </row>
    <row r="14" ht="15" customHeight="1" s="32">
      <c r="A14" s="45" t="n">
        <v>13</v>
      </c>
      <c r="B14" s="46" t="inlineStr">
        <is>
          <t>Роща чувств. Новое звучание</t>
        </is>
      </c>
      <c r="C14" s="45" t="inlineStr">
        <is>
          <t>Танцевальный показ</t>
        </is>
      </c>
      <c r="D14" s="45" t="inlineStr">
        <is>
          <t>Средний</t>
        </is>
      </c>
      <c r="E14" s="47" t="n">
        <v>46201</v>
      </c>
      <c r="F14" s="47" t="n">
        <v>46264</v>
      </c>
      <c r="G14" s="48">
        <f>E14-TODAY()</f>
        <v/>
      </c>
      <c r="H14" s="45" t="n"/>
      <c r="I14" s="48" t="inlineStr">
        <is>
          <t>Проведение</t>
        </is>
      </c>
      <c r="J14" s="48" t="n"/>
      <c r="K14" s="48" t="n"/>
      <c r="L14" s="48" t="n"/>
      <c r="M14" s="48" t="n"/>
      <c r="N14" s="48" t="n"/>
      <c r="O14" s="48" t="n"/>
      <c r="P14" s="49">
        <f>IF(COUNTBLANK(J14:O14)=6,"",IF(COUNTIF(J14:O14,"Красный")&gt;0,"Красный",IF(COUNTIF(J14:O14,"Жёлтый")&gt;0,"Жёлтый",IF(COUNTIF(J14:O14,"Не начат")&gt;0,"Не начат","Зелёный"))))</f>
        <v/>
      </c>
      <c r="Q14" s="45" t="inlineStr">
        <is>
          <t>Нет</t>
        </is>
      </c>
      <c r="R14" s="46" t="n"/>
      <c r="S14" s="48" t="inlineStr">
        <is>
          <t>https://ges-2.org/forest-of-feelings-the-new-sound</t>
        </is>
      </c>
    </row>
    <row r="15" ht="15" customHeight="1" s="32">
      <c r="A15" s="45" t="n">
        <v>14</v>
      </c>
      <c r="B15" s="46" t="inlineStr">
        <is>
          <t>Палисадник-2026</t>
        </is>
      </c>
      <c r="C15" s="45" t="inlineStr">
        <is>
          <t>Выставка</t>
        </is>
      </c>
      <c r="D15" s="45" t="inlineStr">
        <is>
          <t>Тяжёлый</t>
        </is>
      </c>
      <c r="E15" s="47" t="n">
        <v>46204</v>
      </c>
      <c r="F15" s="47" t="n">
        <v>46295</v>
      </c>
      <c r="G15" s="48">
        <f>E15-TODAY()</f>
        <v/>
      </c>
      <c r="H15" s="45" t="n"/>
      <c r="I15" s="48" t="inlineStr">
        <is>
          <t>Проведение</t>
        </is>
      </c>
      <c r="J15" s="48" t="n"/>
      <c r="K15" s="48" t="n"/>
      <c r="L15" s="48" t="n"/>
      <c r="M15" s="48" t="n"/>
      <c r="N15" s="48" t="n"/>
      <c r="O15" s="48" t="n"/>
      <c r="P15" s="49">
        <f>IF(COUNTBLANK(J15:O15)=6,"",IF(COUNTIF(J15:O15,"Красный")&gt;0,"Красный",IF(COUNTIF(J15:O15,"Жёлтый")&gt;0,"Жёлтый",IF(COUNTIF(J15:O15,"Не начат")&gt;0,"Не начат","Зелёный"))))</f>
        <v/>
      </c>
      <c r="Q15" s="45" t="inlineStr">
        <is>
          <t>Нет</t>
        </is>
      </c>
      <c r="R15" s="46" t="n"/>
      <c r="S15" s="48" t="inlineStr">
        <is>
          <t>https://ges-2.org/projects/front-garden-2026</t>
        </is>
      </c>
    </row>
    <row r="16" ht="15" customHeight="1" s="32">
      <c r="A16" s="45" t="n">
        <v>15</v>
      </c>
      <c r="B16" s="46" t="inlineStr">
        <is>
          <t>Как стать меньше мухи</t>
        </is>
      </c>
      <c r="C16" s="45" t="inlineStr">
        <is>
          <t>Прочее</t>
        </is>
      </c>
      <c r="D16" s="45" t="inlineStr">
        <is>
          <t>Лёгкий</t>
        </is>
      </c>
      <c r="E16" s="47" t="n">
        <v>46205</v>
      </c>
      <c r="F16" s="47" t="n">
        <v>46254</v>
      </c>
      <c r="G16" s="48">
        <f>E16-TODAY()</f>
        <v/>
      </c>
      <c r="H16" s="45" t="n"/>
      <c r="I16" s="48" t="inlineStr">
        <is>
          <t>Проведение</t>
        </is>
      </c>
      <c r="J16" s="48" t="n"/>
      <c r="K16" s="48" t="n"/>
      <c r="L16" s="48" t="n"/>
      <c r="M16" s="48" t="n"/>
      <c r="N16" s="48" t="n"/>
      <c r="O16" s="48" t="n"/>
      <c r="P16" s="49">
        <f>IF(COUNTBLANK(J16:O16)=6,"",IF(COUNTIF(J16:O16,"Красный")&gt;0,"Красный",IF(COUNTIF(J16:O16,"Жёлтый")&gt;0,"Жёлтый",IF(COUNTIF(J16:O16,"Не начат")&gt;0,"Не начат","Зелёный"))))</f>
        <v/>
      </c>
      <c r="Q16" s="45" t="inlineStr">
        <is>
          <t>Нет</t>
        </is>
      </c>
      <c r="R16" s="46" t="n"/>
      <c r="S16" s="48" t="inlineStr">
        <is>
          <t>https://ges-2.org/how-to-become-smaller-than-a-fly</t>
        </is>
      </c>
    </row>
    <row r="17" ht="15" customHeight="1" s="32">
      <c r="A17" s="45" t="n">
        <v>16</v>
      </c>
      <c r="B17" s="46" t="inlineStr">
        <is>
          <t>Вне стен: прогулка по Музеону</t>
        </is>
      </c>
      <c r="C17" s="45" t="inlineStr">
        <is>
          <t>Медиаторский тур</t>
        </is>
      </c>
      <c r="D17" s="45" t="inlineStr">
        <is>
          <t>Лёгкий</t>
        </is>
      </c>
      <c r="E17" s="47" t="n">
        <v>46210</v>
      </c>
      <c r="F17" s="47" t="n">
        <v>46293</v>
      </c>
      <c r="G17" s="48">
        <f>E17-TODAY()</f>
        <v/>
      </c>
      <c r="H17" s="45" t="n"/>
      <c r="I17" s="48" t="inlineStr">
        <is>
          <t>Проведение</t>
        </is>
      </c>
      <c r="J17" s="48" t="n"/>
      <c r="K17" s="48" t="n"/>
      <c r="L17" s="48" t="n"/>
      <c r="M17" s="48" t="n"/>
      <c r="N17" s="48" t="n"/>
      <c r="O17" s="48" t="n"/>
      <c r="P17" s="49">
        <f>IF(COUNTBLANK(J17:O17)=6,"",IF(COUNTIF(J17:O17,"Красный")&gt;0,"Красный",IF(COUNTIF(J17:O17,"Жёлтый")&gt;0,"Жёлтый",IF(COUNTIF(J17:O17,"Не начат")&gt;0,"Не начат","Зелёный"))))</f>
        <v/>
      </c>
      <c r="Q17" s="45" t="inlineStr">
        <is>
          <t>Нет</t>
        </is>
      </c>
      <c r="R17" s="46" t="n"/>
      <c r="S17" s="48" t="inlineStr">
        <is>
          <t>https://ges-2.org/outside-the-walls-a-walk-in-muzeon-park</t>
        </is>
      </c>
    </row>
    <row r="18" ht="15" customHeight="1" s="32">
      <c r="A18" s="45" t="n">
        <v>17</v>
      </c>
      <c r="B18" s="46" t="inlineStr">
        <is>
          <t>К сердцу земли. Учиться у природы</t>
        </is>
      </c>
      <c r="C18" s="45" t="inlineStr">
        <is>
          <t>Медиаторский тур</t>
        </is>
      </c>
      <c r="D18" s="45" t="inlineStr">
        <is>
          <t>Лёгкий</t>
        </is>
      </c>
      <c r="E18" s="47" t="n">
        <v>46215</v>
      </c>
      <c r="F18" s="47" t="n">
        <v>46257</v>
      </c>
      <c r="G18" s="48">
        <f>E18-TODAY()</f>
        <v/>
      </c>
      <c r="H18" s="45" t="n"/>
      <c r="I18" s="48" t="inlineStr">
        <is>
          <t>Проведение</t>
        </is>
      </c>
      <c r="J18" s="48" t="n"/>
      <c r="K18" s="48" t="n"/>
      <c r="L18" s="48" t="n"/>
      <c r="M18" s="48" t="n"/>
      <c r="N18" s="48" t="n"/>
      <c r="O18" s="48" t="n"/>
      <c r="P18" s="49">
        <f>IF(COUNTBLANK(J18:O18)=6,"",IF(COUNTIF(J18:O18,"Красный")&gt;0,"Красный",IF(COUNTIF(J18:O18,"Жёлтый")&gt;0,"Жёлтый",IF(COUNTIF(J18:O18,"Не начат")&gt;0,"Не начат","Зелёный"))))</f>
        <v/>
      </c>
      <c r="Q18" s="45" t="inlineStr">
        <is>
          <t>Нет</t>
        </is>
      </c>
      <c r="R18" s="46" t="n"/>
      <c r="S18" s="48" t="inlineStr">
        <is>
          <t>https://ges-2.org/to-the-heart-of-the-earth-learning-from-nature</t>
        </is>
      </c>
    </row>
    <row r="19" ht="35.05" customHeight="1" s="32">
      <c r="A19" s="45" t="n">
        <v>18</v>
      </c>
      <c r="B19" s="46" t="inlineStr">
        <is>
          <t>Программа для живописцев и скульпторов. Открытый набор на второй сезон</t>
        </is>
      </c>
      <c r="C19" s="45" t="inlineStr">
        <is>
          <t>Прочее</t>
        </is>
      </c>
      <c r="D19" s="45" t="inlineStr">
        <is>
          <t>Лёгкий</t>
        </is>
      </c>
      <c r="E19" s="47" t="n">
        <v>46216</v>
      </c>
      <c r="F19" s="47" t="n">
        <v>46265</v>
      </c>
      <c r="G19" s="48">
        <f>E19-TODAY()</f>
        <v/>
      </c>
      <c r="H19" s="45" t="n"/>
      <c r="I19" s="48" t="inlineStr">
        <is>
          <t>Проведение</t>
        </is>
      </c>
      <c r="J19" s="48" t="n"/>
      <c r="K19" s="48" t="n"/>
      <c r="L19" s="48" t="n"/>
      <c r="M19" s="48" t="n"/>
      <c r="N19" s="48" t="n"/>
      <c r="O19" s="48" t="n"/>
      <c r="P19" s="49">
        <f>IF(COUNTBLANK(J19:O19)=6,"",IF(COUNTIF(J19:O19,"Красный")&gt;0,"Красный",IF(COUNTIF(J19:O19,"Жёлтый")&gt;0,"Жёлтый",IF(COUNTIF(J19:O19,"Не начат")&gt;0,"Не начат","Зелёный"))))</f>
        <v/>
      </c>
      <c r="Q19" s="45" t="inlineStr">
        <is>
          <t>Нет</t>
        </is>
      </c>
      <c r="R19" s="46" t="n"/>
      <c r="S19" s="48" t="inlineStr">
        <is>
          <t>https://ges-2.org/programme-for-painters-and-sculptors-open-call-for-season-2</t>
        </is>
      </c>
    </row>
    <row r="20" ht="15" customHeight="1" s="32">
      <c r="A20" s="45" t="n">
        <v>19</v>
      </c>
      <c r="B20" s="46" t="inlineStr">
        <is>
          <t>Йога в Роще</t>
        </is>
      </c>
      <c r="C20" s="45" t="inlineStr">
        <is>
          <t>Медиаторский тур</t>
        </is>
      </c>
      <c r="D20" s="45" t="inlineStr">
        <is>
          <t>Лёгкий</t>
        </is>
      </c>
      <c r="E20" s="47" t="n">
        <v>46221</v>
      </c>
      <c r="F20" s="47" t="n">
        <v>46260</v>
      </c>
      <c r="G20" s="48">
        <f>E20-TODAY()</f>
        <v/>
      </c>
      <c r="H20" s="45" t="n"/>
      <c r="I20" s="48" t="inlineStr">
        <is>
          <t>Проведение</t>
        </is>
      </c>
      <c r="J20" s="48" t="n"/>
      <c r="K20" s="48" t="n"/>
      <c r="L20" s="48" t="n"/>
      <c r="M20" s="48" t="n"/>
      <c r="N20" s="48" t="n"/>
      <c r="O20" s="48" t="n"/>
      <c r="P20" s="49">
        <f>IF(COUNTBLANK(J20:O20)=6,"",IF(COUNTIF(J20:O20,"Красный")&gt;0,"Красный",IF(COUNTIF(J20:O20,"Жёлтый")&gt;0,"Жёлтый",IF(COUNTIF(J20:O20,"Не начат")&gt;0,"Не начат","Зелёный"))))</f>
        <v/>
      </c>
      <c r="Q20" s="45" t="inlineStr">
        <is>
          <t>Нет</t>
        </is>
      </c>
      <c r="R20" s="46" t="n"/>
      <c r="S20" s="48" t="inlineStr">
        <is>
          <t>https://ges-2.org/yoga-in-the-forest</t>
        </is>
      </c>
    </row>
    <row r="21" ht="23.85" customHeight="1" s="32">
      <c r="A21" s="45" t="n">
        <v>20</v>
      </c>
      <c r="B21" s="46" t="inlineStr">
        <is>
          <t>За контурами моды. Летняя программа медиации</t>
        </is>
      </c>
      <c r="C21" s="45" t="inlineStr">
        <is>
          <t>Лекция</t>
        </is>
      </c>
      <c r="D21" s="45" t="inlineStr">
        <is>
          <t>Лёгкий</t>
        </is>
      </c>
      <c r="E21" s="47" t="n">
        <v>46229</v>
      </c>
      <c r="F21" s="47" t="n">
        <v>46260</v>
      </c>
      <c r="G21" s="48">
        <f>E21-TODAY()</f>
        <v/>
      </c>
      <c r="H21" s="45" t="n"/>
      <c r="I21" s="48" t="inlineStr">
        <is>
          <t>Проведение</t>
        </is>
      </c>
      <c r="J21" s="48" t="n"/>
      <c r="K21" s="48" t="n"/>
      <c r="L21" s="48" t="n"/>
      <c r="M21" s="48" t="n"/>
      <c r="N21" s="48" t="n"/>
      <c r="O21" s="48" t="n"/>
      <c r="P21" s="49">
        <f>IF(COUNTBLANK(J21:O21)=6,"",IF(COUNTIF(J21:O21,"Красный")&gt;0,"Красный",IF(COUNTIF(J21:O21,"Жёлтый")&gt;0,"Жёлтый",IF(COUNTIF(J21:O21,"Не начат")&gt;0,"Не начат","Зелёный"))))</f>
        <v/>
      </c>
      <c r="Q21" s="45" t="inlineStr">
        <is>
          <t>Нет</t>
        </is>
      </c>
      <c r="R21" s="46" t="n"/>
      <c r="S21" s="48" t="inlineStr">
        <is>
          <t>https://ges-2.org/beyond-fashion-contours-mediation-summer-programme</t>
        </is>
      </c>
    </row>
    <row r="22" ht="35.05" customHeight="1" s="32">
      <c r="A22" s="45" t="n">
        <v>21</v>
      </c>
      <c r="B22" s="46" t="inlineStr">
        <is>
          <t>Открытый факультет медиации. Владивосток/Калининград. Открытый набор</t>
        </is>
      </c>
      <c r="C22" s="45" t="inlineStr">
        <is>
          <t>Прочее</t>
        </is>
      </c>
      <c r="D22" s="45" t="inlineStr">
        <is>
          <t>Лёгкий</t>
        </is>
      </c>
      <c r="E22" s="47" t="n">
        <v>46232</v>
      </c>
      <c r="F22" s="47" t="n">
        <v>46245</v>
      </c>
      <c r="G22" s="48">
        <f>E22-TODAY()</f>
        <v/>
      </c>
      <c r="H22" s="45" t="n"/>
      <c r="I22" s="48" t="inlineStr">
        <is>
          <t>Проведение</t>
        </is>
      </c>
      <c r="J22" s="48" t="n"/>
      <c r="K22" s="48" t="n"/>
      <c r="L22" s="48" t="n"/>
      <c r="M22" s="48" t="n"/>
      <c r="N22" s="48" t="n"/>
      <c r="O22" s="48" t="n"/>
      <c r="P22" s="49">
        <f>IF(COUNTBLANK(J22:O22)=6,"",IF(COUNTIF(J22:O22,"Красный")&gt;0,"Красный",IF(COUNTIF(J22:O22,"Жёлтый")&gt;0,"Жёлтый",IF(COUNTIF(J22:O22,"Не начат")&gt;0,"Не начат","Зелёный"))))</f>
        <v/>
      </c>
      <c r="Q22" s="45" t="inlineStr">
        <is>
          <t>Нет</t>
        </is>
      </c>
      <c r="R22" s="46" t="n"/>
      <c r="S22" s="48" t="inlineStr">
        <is>
          <t>https://ges-2.org/open-faculty-of-mediation-vladivostok-kaliningrad-open-call</t>
        </is>
      </c>
    </row>
    <row r="23" ht="15" customHeight="1" s="32">
      <c r="A23" s="45" t="n">
        <v>22</v>
      </c>
      <c r="B23" s="46" t="inlineStr">
        <is>
          <t>След и ритм</t>
        </is>
      </c>
      <c r="C23" s="45" t="inlineStr">
        <is>
          <t>Прочее</t>
        </is>
      </c>
      <c r="D23" s="45" t="inlineStr">
        <is>
          <t>Лёгкий</t>
        </is>
      </c>
      <c r="E23" s="47" t="n">
        <v>46238</v>
      </c>
      <c r="F23" s="47" t="n">
        <v>46247</v>
      </c>
      <c r="G23" s="48">
        <f>E23-TODAY()</f>
        <v/>
      </c>
      <c r="H23" s="45" t="n"/>
      <c r="I23" s="48" t="inlineStr">
        <is>
          <t>Проведение</t>
        </is>
      </c>
      <c r="J23" s="48" t="n"/>
      <c r="K23" s="48" t="n"/>
      <c r="L23" s="48" t="n"/>
      <c r="M23" s="48" t="n"/>
      <c r="N23" s="48" t="n"/>
      <c r="O23" s="48" t="n"/>
      <c r="P23" s="49">
        <f>IF(COUNTBLANK(J23:O23)=6,"",IF(COUNTIF(J23:O23,"Красный")&gt;0,"Красный",IF(COUNTIF(J23:O23,"Жёлтый")&gt;0,"Жёлтый",IF(COUNTIF(J23:O23,"Не начат")&gt;0,"Не начат","Зелёный"))))</f>
        <v/>
      </c>
      <c r="Q23" s="45" t="inlineStr">
        <is>
          <t>Нет</t>
        </is>
      </c>
      <c r="R23" s="46" t="n"/>
      <c r="S23" s="48" t="inlineStr">
        <is>
          <t>https://ges-2.org/trace-and-rhythm</t>
        </is>
      </c>
    </row>
    <row r="24" ht="15" customHeight="1" s="32">
      <c r="A24" s="45" t="n">
        <v>23</v>
      </c>
      <c r="B24" s="46" t="inlineStr">
        <is>
          <t>Что с лицом?</t>
        </is>
      </c>
      <c r="C24" s="45" t="inlineStr">
        <is>
          <t>Кинопоказ</t>
        </is>
      </c>
      <c r="D24" s="45" t="inlineStr">
        <is>
          <t>Средний</t>
        </is>
      </c>
      <c r="E24" s="47" t="n">
        <v>46240</v>
      </c>
      <c r="F24" s="47" t="n">
        <v>46253</v>
      </c>
      <c r="G24" s="48">
        <f>E24-TODAY()</f>
        <v/>
      </c>
      <c r="H24" s="45" t="n"/>
      <c r="I24" s="48" t="inlineStr">
        <is>
          <t>Проведение</t>
        </is>
      </c>
      <c r="J24" s="48" t="n"/>
      <c r="K24" s="48" t="n"/>
      <c r="L24" s="48" t="n"/>
      <c r="M24" s="48" t="n"/>
      <c r="N24" s="48" t="n"/>
      <c r="O24" s="48" t="n"/>
      <c r="P24" s="49">
        <f>IF(COUNTBLANK(J24:O24)=6,"",IF(COUNTIF(J24:O24,"Красный")&gt;0,"Красный",IF(COUNTIF(J24:O24,"Жёлтый")&gt;0,"Жёлтый",IF(COUNTIF(J24:O24,"Не начат")&gt;0,"Не начат","Зелёный"))))</f>
        <v/>
      </c>
      <c r="Q24" s="45" t="inlineStr">
        <is>
          <t>Нет</t>
        </is>
      </c>
      <c r="R24" s="46" t="n"/>
      <c r="S24" s="48" t="inlineStr">
        <is>
          <t>https://ges-2.org/projects/what-s-with-the-face</t>
        </is>
      </c>
    </row>
    <row r="25" ht="35.05" customHeight="1" s="32">
      <c r="A25" s="45" t="n">
        <v>24</v>
      </c>
      <c r="B25" s="46" t="inlineStr">
        <is>
          <t>Другой Тагор: творческая вселенная от экспериментов в графике до музыкальной революции</t>
        </is>
      </c>
      <c r="C25" s="45" t="inlineStr">
        <is>
          <t>Лекция</t>
        </is>
      </c>
      <c r="D25" s="45" t="inlineStr">
        <is>
          <t>Лёгкий</t>
        </is>
      </c>
      <c r="E25" s="47" t="n">
        <v>46245</v>
      </c>
      <c r="F25" s="47" t="n">
        <v>46252</v>
      </c>
      <c r="G25" s="48">
        <f>E25-TODAY()</f>
        <v/>
      </c>
      <c r="H25" s="45" t="n"/>
      <c r="I25" s="48" t="inlineStr">
        <is>
          <t>Финальная неделя</t>
        </is>
      </c>
      <c r="J25" s="48" t="n"/>
      <c r="K25" s="48" t="n"/>
      <c r="L25" s="48" t="n"/>
      <c r="M25" s="48" t="n"/>
      <c r="N25" s="48" t="n"/>
      <c r="O25" s="48" t="n"/>
      <c r="P25" s="49">
        <f>IF(COUNTBLANK(J25:O25)=6,"",IF(COUNTIF(J25:O25,"Красный")&gt;0,"Красный",IF(COUNTIF(J25:O25,"Жёлтый")&gt;0,"Жёлтый",IF(COUNTIF(J25:O25,"Не начат")&gt;0,"Не начат","Зелёный"))))</f>
        <v/>
      </c>
      <c r="Q25" s="45" t="inlineStr">
        <is>
          <t>Нет</t>
        </is>
      </c>
      <c r="R25" s="46" t="n"/>
      <c r="S25" s="48" t="inlineStr">
        <is>
          <t>https://ges-2.org/the-other-tagore-the-creative-universe</t>
        </is>
      </c>
    </row>
    <row r="26" ht="15" customHeight="1" s="32">
      <c r="A26" s="45" t="n">
        <v>25</v>
      </c>
      <c r="B26" s="46" t="inlineStr">
        <is>
          <t>Десять</t>
        </is>
      </c>
      <c r="C26" s="45" t="inlineStr">
        <is>
          <t>Кинопоказ</t>
        </is>
      </c>
      <c r="D26" s="45" t="inlineStr">
        <is>
          <t>Средний</t>
        </is>
      </c>
      <c r="E26" s="47" t="n">
        <v>46246</v>
      </c>
      <c r="F26" s="47" t="n">
        <v>46246</v>
      </c>
      <c r="G26" s="48">
        <f>E26-TODAY()</f>
        <v/>
      </c>
      <c r="H26" s="45" t="n"/>
      <c r="I26" s="48" t="inlineStr">
        <is>
          <t>Маркетинг/PR-план</t>
        </is>
      </c>
      <c r="J26" s="48" t="n"/>
      <c r="K26" s="48" t="n"/>
      <c r="L26" s="48" t="n"/>
      <c r="M26" s="48" t="n"/>
      <c r="N26" s="48" t="n"/>
      <c r="O26" s="48" t="n"/>
      <c r="P26" s="49">
        <f>IF(COUNTBLANK(J26:O26)=6,"",IF(COUNTIF(J26:O26,"Красный")&gt;0,"Красный",IF(COUNTIF(J26:O26,"Жёлтый")&gt;0,"Жёлтый",IF(COUNTIF(J26:O26,"Не начат")&gt;0,"Не начат","Зелёный"))))</f>
        <v/>
      </c>
      <c r="Q26" s="45" t="inlineStr">
        <is>
          <t>Нет</t>
        </is>
      </c>
      <c r="R26" s="46" t="n"/>
      <c r="S26" s="48" t="inlineStr">
        <is>
          <t>https://ges-2.org/ten</t>
        </is>
      </c>
    </row>
    <row r="27" ht="15" customHeight="1" s="32">
      <c r="A27" s="45" t="n">
        <v>26</v>
      </c>
      <c r="B27" s="46" t="inlineStr">
        <is>
          <t>Шепот сердца</t>
        </is>
      </c>
      <c r="C27" s="45" t="inlineStr">
        <is>
          <t>Кинопоказ</t>
        </is>
      </c>
      <c r="D27" s="45" t="inlineStr">
        <is>
          <t>Средний</t>
        </is>
      </c>
      <c r="E27" s="47" t="n">
        <v>46247</v>
      </c>
      <c r="F27" s="47" t="n">
        <v>46247</v>
      </c>
      <c r="G27" s="48">
        <f>E27-TODAY()</f>
        <v/>
      </c>
      <c r="H27" s="45" t="n"/>
      <c r="I27" s="48" t="inlineStr">
        <is>
          <t>Маркетинг/PR-план</t>
        </is>
      </c>
      <c r="J27" s="48" t="n"/>
      <c r="K27" s="48" t="n"/>
      <c r="L27" s="48" t="n"/>
      <c r="M27" s="48" t="n"/>
      <c r="N27" s="48" t="n"/>
      <c r="O27" s="48" t="n"/>
      <c r="P27" s="49">
        <f>IF(COUNTBLANK(J27:O27)=6,"",IF(COUNTIF(J27:O27,"Красный")&gt;0,"Красный",IF(COUNTIF(J27:O27,"Жёлтый")&gt;0,"Жёлтый",IF(COUNTIF(J27:O27,"Не начат")&gt;0,"Не начат","Зелёный"))))</f>
        <v/>
      </c>
      <c r="Q27" s="45" t="inlineStr">
        <is>
          <t>Нет</t>
        </is>
      </c>
      <c r="R27" s="46" t="n"/>
      <c r="S27" s="48" t="inlineStr">
        <is>
          <t>https://ges-2.org/whisper-of-the-heart</t>
        </is>
      </c>
    </row>
    <row r="28" ht="15" customHeight="1" s="32">
      <c r="A28" s="45" t="n">
        <v>27</v>
      </c>
      <c r="B28" s="46" t="inlineStr">
        <is>
          <t>Комиссар</t>
        </is>
      </c>
      <c r="C28" s="45" t="inlineStr">
        <is>
          <t>Кинопоказ</t>
        </is>
      </c>
      <c r="D28" s="45" t="inlineStr">
        <is>
          <t>Средний</t>
        </is>
      </c>
      <c r="E28" s="47" t="n">
        <v>46247</v>
      </c>
      <c r="F28" s="47" t="n">
        <v>46247</v>
      </c>
      <c r="G28" s="48">
        <f>E28-TODAY()</f>
        <v/>
      </c>
      <c r="H28" s="45" t="n"/>
      <c r="I28" s="48" t="inlineStr">
        <is>
          <t>Маркетинг/PR-план</t>
        </is>
      </c>
      <c r="J28" s="48" t="n"/>
      <c r="K28" s="48" t="n"/>
      <c r="L28" s="48" t="n"/>
      <c r="M28" s="48" t="n"/>
      <c r="N28" s="48" t="n"/>
      <c r="O28" s="48" t="n"/>
      <c r="P28" s="49">
        <f>IF(COUNTBLANK(J28:O28)=6,"",IF(COUNTIF(J28:O28,"Красный")&gt;0,"Красный",IF(COUNTIF(J28:O28,"Жёлтый")&gt;0,"Жёлтый",IF(COUNTIF(J28:O28,"Не начат")&gt;0,"Не начат","Зелёный"))))</f>
        <v/>
      </c>
      <c r="Q28" s="45" t="inlineStr">
        <is>
          <t>Нет</t>
        </is>
      </c>
      <c r="R28" s="46" t="n"/>
      <c r="S28" s="48" t="inlineStr">
        <is>
          <t>https://ges-2.org/commissar</t>
        </is>
      </c>
    </row>
    <row r="29" ht="15" customHeight="1" s="32">
      <c r="A29" s="45" t="n">
        <v>28</v>
      </c>
      <c r="B29" s="46" t="inlineStr">
        <is>
          <t>Медиация с Румой Чоудхури</t>
        </is>
      </c>
      <c r="C29" s="45" t="inlineStr">
        <is>
          <t>Медиаторский тур</t>
        </is>
      </c>
      <c r="D29" s="45" t="inlineStr">
        <is>
          <t>Лёгкий</t>
        </is>
      </c>
      <c r="E29" s="47" t="n">
        <v>46248</v>
      </c>
      <c r="F29" s="47" t="n">
        <v>46249</v>
      </c>
      <c r="G29" s="48">
        <f>E29-TODAY()</f>
        <v/>
      </c>
      <c r="H29" s="45" t="n"/>
      <c r="I29" s="48" t="inlineStr">
        <is>
          <t>Финальная неделя</t>
        </is>
      </c>
      <c r="J29" s="48" t="n"/>
      <c r="K29" s="48" t="n"/>
      <c r="L29" s="48" t="n"/>
      <c r="M29" s="48" t="n"/>
      <c r="N29" s="48" t="n"/>
      <c r="O29" s="48" t="n"/>
      <c r="P29" s="49">
        <f>IF(COUNTBLANK(J29:O29)=6,"",IF(COUNTIF(J29:O29,"Красный")&gt;0,"Красный",IF(COUNTIF(J29:O29,"Жёлтый")&gt;0,"Жёлтый",IF(COUNTIF(J29:O29,"Не начат")&gt;0,"Не начат","Зелёный"))))</f>
        <v/>
      </c>
      <c r="Q29" s="45" t="inlineStr">
        <is>
          <t>Нет</t>
        </is>
      </c>
      <c r="R29" s="46" t="n"/>
      <c r="S29" s="48" t="inlineStr">
        <is>
          <t>https://ges-2.org/mediation-with-ruma-choudhury</t>
        </is>
      </c>
    </row>
    <row r="30" ht="15" customHeight="1" s="32">
      <c r="A30" s="45" t="n">
        <v>29</v>
      </c>
      <c r="B30" s="46" t="inlineStr">
        <is>
          <t>Самурай и пленник</t>
        </is>
      </c>
      <c r="C30" s="45" t="inlineStr">
        <is>
          <t>Кинопоказ</t>
        </is>
      </c>
      <c r="D30" s="45" t="inlineStr">
        <is>
          <t>Средний</t>
        </is>
      </c>
      <c r="E30" s="47" t="n">
        <v>46248</v>
      </c>
      <c r="F30" s="47" t="n">
        <v>46248</v>
      </c>
      <c r="G30" s="48">
        <f>E30-TODAY()</f>
        <v/>
      </c>
      <c r="H30" s="45" t="n"/>
      <c r="I30" s="48" t="inlineStr">
        <is>
          <t>Маркетинг/PR-план</t>
        </is>
      </c>
      <c r="J30" s="48" t="n"/>
      <c r="K30" s="48" t="n"/>
      <c r="L30" s="48" t="n"/>
      <c r="M30" s="48" t="n"/>
      <c r="N30" s="48" t="n"/>
      <c r="O30" s="48" t="n"/>
      <c r="P30" s="49">
        <f>IF(COUNTBLANK(J30:O30)=6,"",IF(COUNTIF(J30:O30,"Красный")&gt;0,"Красный",IF(COUNTIF(J30:O30,"Жёлтый")&gt;0,"Жёлтый",IF(COUNTIF(J30:O30,"Не начат")&gt;0,"Не начат","Зелёный"))))</f>
        <v/>
      </c>
      <c r="Q30" s="45" t="inlineStr">
        <is>
          <t>Нет</t>
        </is>
      </c>
      <c r="R30" s="46" t="n"/>
      <c r="S30" s="48" t="inlineStr">
        <is>
          <t>https://ges-2.org/the-samurai-and-the-prisoner</t>
        </is>
      </c>
    </row>
    <row r="31" ht="15" customHeight="1" s="32">
      <c r="A31" s="45" t="n">
        <v>30</v>
      </c>
      <c r="B31" s="46" t="inlineStr">
        <is>
          <t>Где приземлиться</t>
        </is>
      </c>
      <c r="C31" s="45" t="inlineStr">
        <is>
          <t>Кинопоказ</t>
        </is>
      </c>
      <c r="D31" s="45" t="inlineStr">
        <is>
          <t>Средний</t>
        </is>
      </c>
      <c r="E31" s="47" t="n">
        <v>46248</v>
      </c>
      <c r="F31" s="47" t="n">
        <v>46248</v>
      </c>
      <c r="G31" s="48">
        <f>E31-TODAY()</f>
        <v/>
      </c>
      <c r="H31" s="45" t="n"/>
      <c r="I31" s="48" t="inlineStr">
        <is>
          <t>Маркетинг/PR-план</t>
        </is>
      </c>
      <c r="J31" s="48" t="n"/>
      <c r="K31" s="48" t="n"/>
      <c r="L31" s="48" t="n"/>
      <c r="M31" s="48" t="n"/>
      <c r="N31" s="48" t="n"/>
      <c r="O31" s="48" t="n"/>
      <c r="P31" s="49">
        <f>IF(COUNTBLANK(J31:O31)=6,"",IF(COUNTIF(J31:O31,"Красный")&gt;0,"Красный",IF(COUNTIF(J31:O31,"Жёлтый")&gt;0,"Жёлтый",IF(COUNTIF(J31:O31,"Не начат")&gt;0,"Не начат","Зелёный"))))</f>
        <v/>
      </c>
      <c r="Q31" s="45" t="inlineStr">
        <is>
          <t>Нет</t>
        </is>
      </c>
      <c r="R31" s="46" t="n"/>
      <c r="S31" s="48" t="inlineStr">
        <is>
          <t>https://ges-2.org/where-to-land</t>
        </is>
      </c>
    </row>
    <row r="32" ht="23.85" customHeight="1" s="32">
      <c r="A32" s="45" t="n">
        <v>31</v>
      </c>
      <c r="B32" s="46" t="inlineStr">
        <is>
          <t>Слово и образ: как читать индийских авторов сегодня</t>
        </is>
      </c>
      <c r="C32" s="45" t="inlineStr">
        <is>
          <t>Лекция</t>
        </is>
      </c>
      <c r="D32" s="45" t="inlineStr">
        <is>
          <t>Лёгкий</t>
        </is>
      </c>
      <c r="E32" s="47" t="n">
        <v>46249</v>
      </c>
      <c r="F32" s="47" t="n">
        <v>46249</v>
      </c>
      <c r="G32" s="48">
        <f>E32-TODAY()</f>
        <v/>
      </c>
      <c r="H32" s="45" t="n"/>
      <c r="I32" s="48" t="inlineStr">
        <is>
          <t>Финальная неделя</t>
        </is>
      </c>
      <c r="J32" s="48" t="n"/>
      <c r="K32" s="48" t="n"/>
      <c r="L32" s="48" t="n"/>
      <c r="M32" s="48" t="n"/>
      <c r="N32" s="48" t="n"/>
      <c r="O32" s="48" t="n"/>
      <c r="P32" s="49">
        <f>IF(COUNTBLANK(J32:O32)=6,"",IF(COUNTIF(J32:O32,"Красный")&gt;0,"Красный",IF(COUNTIF(J32:O32,"Жёлтый")&gt;0,"Жёлтый",IF(COUNTIF(J32:O32,"Не начат")&gt;0,"Не начат","Зелёный"))))</f>
        <v/>
      </c>
      <c r="Q32" s="45" t="inlineStr">
        <is>
          <t>Нет</t>
        </is>
      </c>
      <c r="R32" s="46" t="n"/>
      <c r="S32" s="48" t="inlineStr">
        <is>
          <t>https://ges-2.org/word-and-image-how-to-read-indian-authors-today</t>
        </is>
      </c>
    </row>
    <row r="33" ht="15" customHeight="1" s="32">
      <c r="A33" s="45" t="n">
        <v>32</v>
      </c>
      <c r="B33" s="46" t="inlineStr">
        <is>
          <t>Генеральная линия</t>
        </is>
      </c>
      <c r="C33" s="45" t="inlineStr">
        <is>
          <t>Кинопоказ</t>
        </is>
      </c>
      <c r="D33" s="45" t="inlineStr">
        <is>
          <t>Средний</t>
        </is>
      </c>
      <c r="E33" s="47" t="n">
        <v>46249</v>
      </c>
      <c r="F33" s="47" t="n">
        <v>46249</v>
      </c>
      <c r="G33" s="48">
        <f>E33-TODAY()</f>
        <v/>
      </c>
      <c r="H33" s="45" t="n"/>
      <c r="I33" s="48" t="inlineStr">
        <is>
          <t>Маркетинг/PR-план</t>
        </is>
      </c>
      <c r="J33" s="48" t="n"/>
      <c r="K33" s="48" t="n"/>
      <c r="L33" s="48" t="n"/>
      <c r="M33" s="48" t="n"/>
      <c r="N33" s="48" t="n"/>
      <c r="O33" s="48" t="n"/>
      <c r="P33" s="49">
        <f>IF(COUNTBLANK(J33:O33)=6,"",IF(COUNTIF(J33:O33,"Красный")&gt;0,"Красный",IF(COUNTIF(J33:O33,"Жёлтый")&gt;0,"Жёлтый",IF(COUNTIF(J33:O33,"Не начат")&gt;0,"Не начат","Зелёный"))))</f>
        <v/>
      </c>
      <c r="Q33" s="45" t="inlineStr">
        <is>
          <t>Нет</t>
        </is>
      </c>
      <c r="R33" s="46" t="n"/>
      <c r="S33" s="48" t="inlineStr">
        <is>
          <t>https://ges-2.org/the-general-line</t>
        </is>
      </c>
    </row>
    <row r="34" ht="15" customHeight="1" s="32">
      <c r="A34" s="45" t="n">
        <v>33</v>
      </c>
      <c r="B34" s="46" t="inlineStr">
        <is>
          <t>Полдень шахмат</t>
        </is>
      </c>
      <c r="C34" s="45" t="inlineStr">
        <is>
          <t>Лекция</t>
        </is>
      </c>
      <c r="D34" s="45" t="inlineStr">
        <is>
          <t>Лёгкий</t>
        </is>
      </c>
      <c r="E34" s="47" t="n">
        <v>46250</v>
      </c>
      <c r="F34" s="47" t="n">
        <v>46250</v>
      </c>
      <c r="G34" s="48">
        <f>E34-TODAY()</f>
        <v/>
      </c>
      <c r="H34" s="45" t="n"/>
      <c r="I34" s="48" t="inlineStr">
        <is>
          <t>Маркетинг/PR-план</t>
        </is>
      </c>
      <c r="J34" s="48" t="n"/>
      <c r="K34" s="48" t="n"/>
      <c r="L34" s="48" t="n"/>
      <c r="M34" s="48" t="n"/>
      <c r="N34" s="48" t="n"/>
      <c r="O34" s="48" t="n"/>
      <c r="P34" s="49">
        <f>IF(COUNTBLANK(J34:O34)=6,"",IF(COUNTIF(J34:O34,"Красный")&gt;0,"Красный",IF(COUNTIF(J34:O34,"Жёлтый")&gt;0,"Жёлтый",IF(COUNTIF(J34:O34,"Не начат")&gt;0,"Не начат","Зелёный"))))</f>
        <v/>
      </c>
      <c r="Q34" s="45" t="inlineStr">
        <is>
          <t>Нет</t>
        </is>
      </c>
      <c r="R34" s="46" t="n"/>
      <c r="S34" s="48" t="inlineStr">
        <is>
          <t>https://ges-2.org/afternoon-of-chess</t>
        </is>
      </c>
    </row>
    <row r="35" ht="15" customHeight="1" s="32">
      <c r="A35" s="45" t="n">
        <v>34</v>
      </c>
      <c r="B35" s="46" t="inlineStr">
        <is>
          <t>Бумага, созданная рекой</t>
        </is>
      </c>
      <c r="C35" s="45" t="inlineStr">
        <is>
          <t>Прочее</t>
        </is>
      </c>
      <c r="D35" s="45" t="inlineStr">
        <is>
          <t>Лёгкий</t>
        </is>
      </c>
      <c r="E35" s="47" t="n">
        <v>46250</v>
      </c>
      <c r="F35" s="47" t="n">
        <v>46250</v>
      </c>
      <c r="G35" s="48">
        <f>E35-TODAY()</f>
        <v/>
      </c>
      <c r="H35" s="45" t="n"/>
      <c r="I35" s="48" t="inlineStr">
        <is>
          <t>Маркетинг/PR-план</t>
        </is>
      </c>
      <c r="J35" s="48" t="n"/>
      <c r="K35" s="48" t="n"/>
      <c r="L35" s="48" t="n"/>
      <c r="M35" s="48" t="n"/>
      <c r="N35" s="48" t="n"/>
      <c r="O35" s="48" t="n"/>
      <c r="P35" s="49">
        <f>IF(COUNTBLANK(J35:O35)=6,"",IF(COUNTIF(J35:O35,"Красный")&gt;0,"Красный",IF(COUNTIF(J35:O35,"Жёлтый")&gt;0,"Жёлтый",IF(COUNTIF(J35:O35,"Не начат")&gt;0,"Не начат","Зелёный"))))</f>
        <v/>
      </c>
      <c r="Q35" s="45" t="inlineStr">
        <is>
          <t>Нет</t>
        </is>
      </c>
      <c r="R35" s="46" t="n"/>
      <c r="S35" s="48" t="inlineStr">
        <is>
          <t>https://ges-2.org/paper-created-by-the-river</t>
        </is>
      </c>
    </row>
    <row r="36" ht="15" customHeight="1" s="32">
      <c r="A36" s="45" t="n">
        <v>35</v>
      </c>
      <c r="B36" s="46" t="inlineStr">
        <is>
          <t>Девушки</t>
        </is>
      </c>
      <c r="C36" s="45" t="inlineStr">
        <is>
          <t>Кинопоказ</t>
        </is>
      </c>
      <c r="D36" s="45" t="inlineStr">
        <is>
          <t>Средний</t>
        </is>
      </c>
      <c r="E36" s="47" t="n">
        <v>46250</v>
      </c>
      <c r="F36" s="47" t="n">
        <v>46250</v>
      </c>
      <c r="G36" s="48">
        <f>E36-TODAY()</f>
        <v/>
      </c>
      <c r="H36" s="45" t="n"/>
      <c r="I36" s="48" t="inlineStr">
        <is>
          <t>Маркетинг/PR-план</t>
        </is>
      </c>
      <c r="J36" s="48" t="n"/>
      <c r="K36" s="48" t="n"/>
      <c r="L36" s="48" t="n"/>
      <c r="M36" s="48" t="n"/>
      <c r="N36" s="48" t="n"/>
      <c r="O36" s="48" t="n"/>
      <c r="P36" s="49">
        <f>IF(COUNTBLANK(J36:O36)=6,"",IF(COUNTIF(J36:O36,"Красный")&gt;0,"Красный",IF(COUNTIF(J36:O36,"Жёлтый")&gt;0,"Жёлтый",IF(COUNTIF(J36:O36,"Не начат")&gt;0,"Не начат","Зелёный"))))</f>
        <v/>
      </c>
      <c r="Q36" s="45" t="inlineStr">
        <is>
          <t>Нет</t>
        </is>
      </c>
      <c r="R36" s="46" t="n"/>
      <c r="S36" s="48" t="inlineStr">
        <is>
          <t>https://ges-2.org/the-girls</t>
        </is>
      </c>
    </row>
    <row r="37" ht="15" customHeight="1" s="32">
      <c r="A37" s="45" t="n">
        <v>36</v>
      </c>
      <c r="B37" s="46" t="inlineStr">
        <is>
          <t>Красный гаолян</t>
        </is>
      </c>
      <c r="C37" s="45" t="inlineStr">
        <is>
          <t>Кинопоказ</t>
        </is>
      </c>
      <c r="D37" s="45" t="inlineStr">
        <is>
          <t>Средний</t>
        </is>
      </c>
      <c r="E37" s="47" t="n">
        <v>46250</v>
      </c>
      <c r="F37" s="47" t="n">
        <v>46250</v>
      </c>
      <c r="G37" s="48">
        <f>E37-TODAY()</f>
        <v/>
      </c>
      <c r="H37" s="45" t="n"/>
      <c r="I37" s="48" t="inlineStr">
        <is>
          <t>Маркетинг/PR-план</t>
        </is>
      </c>
      <c r="J37" s="48" t="n"/>
      <c r="K37" s="48" t="n"/>
      <c r="L37" s="48" t="n"/>
      <c r="M37" s="48" t="n"/>
      <c r="N37" s="48" t="n"/>
      <c r="O37" s="48" t="n"/>
      <c r="P37" s="49">
        <f>IF(COUNTBLANK(J37:O37)=6,"",IF(COUNTIF(J37:O37,"Красный")&gt;0,"Красный",IF(COUNTIF(J37:O37,"Жёлтый")&gt;0,"Жёлтый",IF(COUNTIF(J37:O37,"Не начат")&gt;0,"Не начат","Зелёный"))))</f>
        <v/>
      </c>
      <c r="Q37" s="45" t="inlineStr">
        <is>
          <t>Нет</t>
        </is>
      </c>
      <c r="R37" s="46" t="n"/>
      <c r="S37" s="48" t="inlineStr">
        <is>
          <t>https://ges-2.org/red-sorghum</t>
        </is>
      </c>
    </row>
    <row r="38" ht="15" customHeight="1" s="32">
      <c r="A38" s="45" t="n">
        <v>37</v>
      </c>
      <c r="B38" s="46" t="inlineStr">
        <is>
          <t>Тема</t>
        </is>
      </c>
      <c r="C38" s="45" t="inlineStr">
        <is>
          <t>Кинопоказ</t>
        </is>
      </c>
      <c r="D38" s="45" t="inlineStr">
        <is>
          <t>Средний</t>
        </is>
      </c>
      <c r="E38" s="47" t="n">
        <v>46252</v>
      </c>
      <c r="F38" s="47" t="n">
        <v>46252</v>
      </c>
      <c r="G38" s="48">
        <f>E38-TODAY()</f>
        <v/>
      </c>
      <c r="H38" s="45" t="n"/>
      <c r="I38" s="48" t="inlineStr">
        <is>
          <t>Маркетинг/PR-план</t>
        </is>
      </c>
      <c r="J38" s="48" t="n"/>
      <c r="K38" s="48" t="n"/>
      <c r="L38" s="48" t="n"/>
      <c r="M38" s="48" t="n"/>
      <c r="N38" s="48" t="n"/>
      <c r="O38" s="48" t="n"/>
      <c r="P38" s="49">
        <f>IF(COUNTBLANK(J38:O38)=6,"",IF(COUNTIF(J38:O38,"Красный")&gt;0,"Красный",IF(COUNTIF(J38:O38,"Жёлтый")&gt;0,"Жёлтый",IF(COUNTIF(J38:O38,"Не начат")&gt;0,"Не начат","Зелёный"))))</f>
        <v/>
      </c>
      <c r="Q38" s="45" t="inlineStr">
        <is>
          <t>Нет</t>
        </is>
      </c>
      <c r="R38" s="46" t="n"/>
      <c r="S38" s="48" t="inlineStr">
        <is>
          <t>https://ges-2.org/the-theme</t>
        </is>
      </c>
    </row>
    <row r="39" ht="15" customHeight="1" s="32">
      <c r="A39" s="45" t="n">
        <v>38</v>
      </c>
      <c r="B39" s="46" t="inlineStr">
        <is>
          <t>Земля</t>
        </is>
      </c>
      <c r="C39" s="45" t="inlineStr">
        <is>
          <t>Кинопоказ</t>
        </is>
      </c>
      <c r="D39" s="45" t="inlineStr">
        <is>
          <t>Средний</t>
        </is>
      </c>
      <c r="E39" s="47" t="n">
        <v>46253</v>
      </c>
      <c r="F39" s="47" t="n">
        <v>46253</v>
      </c>
      <c r="G39" s="48">
        <f>E39-TODAY()</f>
        <v/>
      </c>
      <c r="H39" s="45" t="n"/>
      <c r="I39" s="48" t="inlineStr">
        <is>
          <t>Продакшн</t>
        </is>
      </c>
      <c r="J39" s="48" t="n"/>
      <c r="K39" s="48" t="n"/>
      <c r="L39" s="48" t="n"/>
      <c r="M39" s="48" t="n"/>
      <c r="N39" s="48" t="n"/>
      <c r="O39" s="48" t="n"/>
      <c r="P39" s="49">
        <f>IF(COUNTBLANK(J39:O39)=6,"",IF(COUNTIF(J39:O39,"Красный")&gt;0,"Красный",IF(COUNTIF(J39:O39,"Жёлтый")&gt;0,"Жёлтый",IF(COUNTIF(J39:O39,"Не начат")&gt;0,"Не начат","Зелёный"))))</f>
        <v/>
      </c>
      <c r="Q39" s="45" t="inlineStr">
        <is>
          <t>Нет</t>
        </is>
      </c>
      <c r="R39" s="46" t="n"/>
      <c r="S39" s="48" t="inlineStr">
        <is>
          <t>https://ges-2.org/earth-film</t>
        </is>
      </c>
    </row>
    <row r="40" ht="15" customHeight="1" s="32">
      <c r="A40" s="45" t="n">
        <v>39</v>
      </c>
      <c r="B40" s="46" t="inlineStr">
        <is>
          <t>Небывальщина</t>
        </is>
      </c>
      <c r="C40" s="45" t="inlineStr">
        <is>
          <t>Прочее</t>
        </is>
      </c>
      <c r="D40" s="45" t="inlineStr">
        <is>
          <t>Лёгкий</t>
        </is>
      </c>
      <c r="E40" s="47" t="n">
        <v>46257</v>
      </c>
      <c r="F40" s="47" t="n">
        <v>46264</v>
      </c>
      <c r="G40" s="48">
        <f>E40-TODAY()</f>
        <v/>
      </c>
      <c r="H40" s="45" t="n"/>
      <c r="I40" s="48" t="inlineStr">
        <is>
          <t>Маркетинг/PR-план</t>
        </is>
      </c>
      <c r="J40" s="48" t="n"/>
      <c r="K40" s="48" t="n"/>
      <c r="L40" s="48" t="n"/>
      <c r="M40" s="48" t="n"/>
      <c r="N40" s="48" t="n"/>
      <c r="O40" s="48" t="n"/>
      <c r="P40" s="49">
        <f>IF(COUNTBLANK(J40:O40)=6,"",IF(COUNTIF(J40:O40,"Красный")&gt;0,"Красный",IF(COUNTIF(J40:O40,"Жёлтый")&gt;0,"Жёлтый",IF(COUNTIF(J40:O40,"Не начат")&gt;0,"Не начат","Зелёный"))))</f>
        <v/>
      </c>
      <c r="Q40" s="45" t="inlineStr">
        <is>
          <t>Нет</t>
        </is>
      </c>
      <c r="R40" s="46" t="n"/>
      <c r="S40" s="48" t="inlineStr">
        <is>
          <t>https://ges-2.org/imaginary-creatures</t>
        </is>
      </c>
    </row>
    <row r="41" ht="35.05" customHeight="1" s="32">
      <c r="A41" s="45" t="n">
        <v>40</v>
      </c>
      <c r="B41" s="46" t="inlineStr">
        <is>
          <t>ГЭС-2 Саундсистем 4. Mind*</t>
        </is>
      </c>
      <c r="C41" s="45" t="inlineStr">
        <is>
          <t>Лекция</t>
        </is>
      </c>
      <c r="D41" s="45" t="inlineStr">
        <is>
          <t>Тяжёлый</t>
        </is>
      </c>
      <c r="E41" s="47" t="n">
        <v>46258</v>
      </c>
      <c r="F41" s="47" t="n">
        <v>46260</v>
      </c>
      <c r="G41" s="48">
        <f>E41-TODAY()</f>
        <v/>
      </c>
      <c r="H41" s="45" t="n"/>
      <c r="I41" s="48" t="inlineStr">
        <is>
          <t>Продакшн</t>
        </is>
      </c>
      <c r="J41" s="48" t="n"/>
      <c r="K41" s="48" t="n"/>
      <c r="L41" s="48" t="n"/>
      <c r="M41" s="48" t="n"/>
      <c r="N41" s="48" t="n"/>
      <c r="O41" s="48" t="n"/>
      <c r="P41" s="49">
        <f>IF(COUNTBLANK(J41:O41)=6,"",IF(COUNTIF(J41:O41,"Красный")&gt;0,"Красный",IF(COUNTIF(J41:O41,"Жёлтый")&gt;0,"Жёлтый",IF(COUNTIF(J41:O41,"Не начат")&gt;0,"Не начат","Зелёный"))))</f>
        <v/>
      </c>
      <c r="Q41" s="45" t="inlineStr">
        <is>
          <t>Нет</t>
        </is>
      </c>
      <c r="R41" s="46" t="inlineStr">
        <is>
          <t>Крупный музыкальный уикенд (24–30.08) — пиковая нагрузка на посетительский сервис и парковку.</t>
        </is>
      </c>
      <c r="S41" s="48" t="inlineStr">
        <is>
          <t>https://ges-2.org/ges-2-soundsystem-4-mind</t>
        </is>
      </c>
    </row>
    <row r="42" ht="35.05" customHeight="1" s="32">
      <c r="A42" s="45" t="n">
        <v>41</v>
      </c>
      <c r="B42" s="46" t="inlineStr">
        <is>
          <t>ГЭС-2 Саундсистем 4</t>
        </is>
      </c>
      <c r="C42" s="45" t="inlineStr">
        <is>
          <t>Лекция</t>
        </is>
      </c>
      <c r="D42" s="45" t="inlineStr">
        <is>
          <t>Тяжёлый</t>
        </is>
      </c>
      <c r="E42" s="47" t="n">
        <v>46258</v>
      </c>
      <c r="F42" s="47" t="n">
        <v>46264</v>
      </c>
      <c r="G42" s="48">
        <f>E42-TODAY()</f>
        <v/>
      </c>
      <c r="H42" s="45" t="n"/>
      <c r="I42" s="48" t="inlineStr">
        <is>
          <t>Продакшн</t>
        </is>
      </c>
      <c r="J42" s="48" t="n"/>
      <c r="K42" s="48" t="n"/>
      <c r="L42" s="48" t="n"/>
      <c r="M42" s="48" t="n"/>
      <c r="N42" s="48" t="n"/>
      <c r="O42" s="48" t="n"/>
      <c r="P42" s="49">
        <f>IF(COUNTBLANK(J42:O42)=6,"",IF(COUNTIF(J42:O42,"Красный")&gt;0,"Красный",IF(COUNTIF(J42:O42,"Жёлтый")&gt;0,"Жёлтый",IF(COUNTIF(J42:O42,"Не начат")&gt;0,"Не начат","Зелёный"))))</f>
        <v/>
      </c>
      <c r="Q42" s="45" t="inlineStr">
        <is>
          <t>Нет</t>
        </is>
      </c>
      <c r="R42" s="46" t="inlineStr">
        <is>
          <t>Крупный музыкальный уикенд (24–30.08) — пиковая нагрузка на посетительский сервис и парковку.</t>
        </is>
      </c>
      <c r="S42" s="48" t="inlineStr">
        <is>
          <t>https://ges-2.org/projects/ges-2-soundsystem-4</t>
        </is>
      </c>
    </row>
    <row r="43" ht="35.05" customHeight="1" s="32">
      <c r="A43" s="45" t="n">
        <v>42</v>
      </c>
      <c r="B43" s="46" t="inlineStr">
        <is>
          <t>ГЭС-2 Саундсистем 4. Body*</t>
        </is>
      </c>
      <c r="C43" s="45" t="inlineStr">
        <is>
          <t>Лекция</t>
        </is>
      </c>
      <c r="D43" s="45" t="inlineStr">
        <is>
          <t>Тяжёлый</t>
        </is>
      </c>
      <c r="E43" s="47" t="n">
        <v>46258</v>
      </c>
      <c r="F43" s="47" t="n">
        <v>46264</v>
      </c>
      <c r="G43" s="48">
        <f>E43-TODAY()</f>
        <v/>
      </c>
      <c r="H43" s="45" t="n"/>
      <c r="I43" s="48" t="inlineStr">
        <is>
          <t>Продакшн</t>
        </is>
      </c>
      <c r="J43" s="48" t="n"/>
      <c r="K43" s="48" t="n"/>
      <c r="L43" s="48" t="n"/>
      <c r="M43" s="48" t="n"/>
      <c r="N43" s="48" t="n"/>
      <c r="O43" s="48" t="n"/>
      <c r="P43" s="49">
        <f>IF(COUNTBLANK(J43:O43)=6,"",IF(COUNTIF(J43:O43,"Красный")&gt;0,"Красный",IF(COUNTIF(J43:O43,"Жёлтый")&gt;0,"Жёлтый",IF(COUNTIF(J43:O43,"Не начат")&gt;0,"Не начат","Зелёный"))))</f>
        <v/>
      </c>
      <c r="Q43" s="45" t="inlineStr">
        <is>
          <t>Нет</t>
        </is>
      </c>
      <c r="R43" s="46" t="inlineStr">
        <is>
          <t>Крупный музыкальный уикенд (24–30.08) — пиковая нагрузка на посетительский сервис и парковку.</t>
        </is>
      </c>
      <c r="S43" s="48" t="inlineStr">
        <is>
          <t>https://ges-2.org/ges-2-soundsystem-4-body</t>
        </is>
      </c>
    </row>
    <row r="44" ht="35.05" customHeight="1" s="32">
      <c r="A44" s="45" t="n">
        <v>43</v>
      </c>
      <c r="B44" s="46" t="inlineStr">
        <is>
          <t>ГЭС-2 Саундсистем 4. Spirit*</t>
        </is>
      </c>
      <c r="C44" s="45" t="inlineStr">
        <is>
          <t>Лекция</t>
        </is>
      </c>
      <c r="D44" s="45" t="inlineStr">
        <is>
          <t>Тяжёлый</t>
        </is>
      </c>
      <c r="E44" s="47" t="n">
        <v>46264</v>
      </c>
      <c r="F44" s="47" t="n">
        <v>46264</v>
      </c>
      <c r="G44" s="48">
        <f>E44-TODAY()</f>
        <v/>
      </c>
      <c r="H44" s="45" t="n"/>
      <c r="I44" s="48" t="inlineStr">
        <is>
          <t>Продакшн</t>
        </is>
      </c>
      <c r="J44" s="48" t="n"/>
      <c r="K44" s="48" t="n"/>
      <c r="L44" s="48" t="n"/>
      <c r="M44" s="48" t="n"/>
      <c r="N44" s="48" t="n"/>
      <c r="O44" s="48" t="n"/>
      <c r="P44" s="49">
        <f>IF(COUNTBLANK(J44:O44)=6,"",IF(COUNTIF(J44:O44,"Красный")&gt;0,"Красный",IF(COUNTIF(J44:O44,"Жёлтый")&gt;0,"Жёлтый",IF(COUNTIF(J44:O44,"Не начат")&gt;0,"Не начат","Зелёный"))))</f>
        <v/>
      </c>
      <c r="Q44" s="45" t="inlineStr">
        <is>
          <t>Нет</t>
        </is>
      </c>
      <c r="R44" s="46" t="inlineStr">
        <is>
          <t>Крупный музыкальный уикенд (24–30.08) — пиковая нагрузка на посетительский сервис и парковку.</t>
        </is>
      </c>
      <c r="S44" s="48" t="inlineStr">
        <is>
          <t>https://ges-2.org/ges-2-soundsystem-4-spirit</t>
        </is>
      </c>
    </row>
    <row r="45" ht="15" customHeight="1" s="32">
      <c r="A45" s="45" t="n">
        <v>44</v>
      </c>
      <c r="B45" s="46" t="inlineStr">
        <is>
          <t>Песни Палисадника</t>
        </is>
      </c>
      <c r="C45" s="45" t="inlineStr">
        <is>
          <t>Лекция</t>
        </is>
      </c>
      <c r="D45" s="45" t="inlineStr">
        <is>
          <t>Лёгкий</t>
        </is>
      </c>
      <c r="E45" s="47" t="n">
        <v>46264</v>
      </c>
      <c r="F45" s="47" t="n">
        <v>46264</v>
      </c>
      <c r="G45" s="48">
        <f>E45-TODAY()</f>
        <v/>
      </c>
      <c r="H45" s="45" t="n"/>
      <c r="I45" s="48" t="inlineStr">
        <is>
          <t>Бронирование площадки и ресурсов</t>
        </is>
      </c>
      <c r="J45" s="48" t="n"/>
      <c r="K45" s="48" t="n"/>
      <c r="L45" s="48" t="n"/>
      <c r="M45" s="48" t="n"/>
      <c r="N45" s="48" t="n"/>
      <c r="O45" s="48" t="n"/>
      <c r="P45" s="49">
        <f>IF(COUNTBLANK(J45:O45)=6,"",IF(COUNTIF(J45:O45,"Красный")&gt;0,"Красный",IF(COUNTIF(J45:O45,"Жёлтый")&gt;0,"Жёлтый",IF(COUNTIF(J45:O45,"Не начат")&gt;0,"Не начат","Зелёный"))))</f>
        <v/>
      </c>
      <c r="Q45" s="45" t="inlineStr">
        <is>
          <t>Нет</t>
        </is>
      </c>
      <c r="R45" s="46" t="n"/>
      <c r="S45" s="48" t="inlineStr">
        <is>
          <t>https://ges-2.org/songs-of-the-front-garden</t>
        </is>
      </c>
    </row>
    <row r="46" ht="15" customHeight="1" s="32">
      <c r="A46" s="45" t="n">
        <v>45</v>
      </c>
      <c r="B46" s="46" t="inlineStr">
        <is>
          <t>Технический сценарий</t>
        </is>
      </c>
      <c r="C46" s="45" t="inlineStr">
        <is>
          <t>Прочее</t>
        </is>
      </c>
      <c r="D46" s="45" t="inlineStr">
        <is>
          <t>Лёгкий</t>
        </is>
      </c>
      <c r="E46" s="47" t="n">
        <v>46266</v>
      </c>
      <c r="F46" s="47" t="n">
        <v>46366</v>
      </c>
      <c r="G46" s="48">
        <f>E46-TODAY()</f>
        <v/>
      </c>
      <c r="H46" s="45" t="n"/>
      <c r="I46" s="48" t="inlineStr">
        <is>
          <t>Бронирование площадки и ресурсов</t>
        </is>
      </c>
      <c r="J46" s="48" t="n"/>
      <c r="K46" s="48" t="n"/>
      <c r="L46" s="48" t="n"/>
      <c r="M46" s="48" t="n"/>
      <c r="N46" s="48" t="n"/>
      <c r="O46" s="48" t="n"/>
      <c r="P46" s="49">
        <f>IF(COUNTBLANK(J46:O46)=6,"",IF(COUNTIF(J46:O46,"Красный")&gt;0,"Красный",IF(COUNTIF(J46:O46,"Жёлтый")&gt;0,"Жёлтый",IF(COUNTIF(J46:O46,"Не начат")&gt;0,"Не начат","Зелёный"))))</f>
        <v/>
      </c>
      <c r="Q46" s="45" t="inlineStr">
        <is>
          <t>Нет</t>
        </is>
      </c>
      <c r="R46" s="46" t="n"/>
      <c r="S46" s="48" t="inlineStr">
        <is>
          <t>https://ges-2.org/technical-script</t>
        </is>
      </c>
    </row>
    <row r="47" ht="15" customHeight="1" s="32">
      <c r="A47" s="45" t="n">
        <v>46</v>
      </c>
      <c r="B47" s="46" t="inlineStr">
        <is>
          <t>Вагон пользы и еще тележка</t>
        </is>
      </c>
      <c r="C47" s="45" t="inlineStr">
        <is>
          <t>Прочее</t>
        </is>
      </c>
      <c r="D47" s="45" t="inlineStr">
        <is>
          <t>Лёгкий</t>
        </is>
      </c>
      <c r="E47" s="47" t="n">
        <v>46269</v>
      </c>
      <c r="F47" s="47" t="n">
        <v>46353</v>
      </c>
      <c r="G47" s="48">
        <f>E47-TODAY()</f>
        <v/>
      </c>
      <c r="H47" s="45" t="n"/>
      <c r="I47" s="48" t="inlineStr">
        <is>
          <t>Бронирование площадки и ресурсов</t>
        </is>
      </c>
      <c r="J47" s="48" t="n"/>
      <c r="K47" s="48" t="n"/>
      <c r="L47" s="48" t="n"/>
      <c r="M47" s="48" t="n"/>
      <c r="N47" s="48" t="n"/>
      <c r="O47" s="48" t="n"/>
      <c r="P47" s="49">
        <f>IF(COUNTBLANK(J47:O47)=6,"",IF(COUNTIF(J47:O47,"Красный")&gt;0,"Красный",IF(COUNTIF(J47:O47,"Жёлтый")&gt;0,"Жёлтый",IF(COUNTIF(J47:O47,"Не начат")&gt;0,"Не начат","Зелёный"))))</f>
        <v/>
      </c>
      <c r="Q47" s="45" t="inlineStr">
        <is>
          <t>Нет</t>
        </is>
      </c>
      <c r="R47" s="46" t="n"/>
      <c r="S47" s="48" t="inlineStr">
        <is>
          <t>https://ges-2.org/loads-of-benefits-and-a-cartload</t>
        </is>
      </c>
    </row>
    <row r="48" ht="15" customHeight="1" s="32">
      <c r="A48" s="45" t="n">
        <v>47</v>
      </c>
      <c r="B48" s="46" t="inlineStr">
        <is>
          <t>Субботние игры на Платформах</t>
        </is>
      </c>
      <c r="C48" s="45" t="inlineStr">
        <is>
          <t>Прочее</t>
        </is>
      </c>
      <c r="D48" s="45" t="inlineStr">
        <is>
          <t>Лёгкий</t>
        </is>
      </c>
      <c r="E48" s="47" t="n">
        <v>46270</v>
      </c>
      <c r="F48" s="47" t="n">
        <v>46354</v>
      </c>
      <c r="G48" s="48">
        <f>E48-TODAY()</f>
        <v/>
      </c>
      <c r="H48" s="45" t="n"/>
      <c r="I48" s="48" t="inlineStr">
        <is>
          <t>Бронирование площадки и ресурсов</t>
        </is>
      </c>
      <c r="J48" s="48" t="n"/>
      <c r="K48" s="48" t="n"/>
      <c r="L48" s="48" t="n"/>
      <c r="M48" s="48" t="n"/>
      <c r="N48" s="48" t="n"/>
      <c r="O48" s="48" t="n"/>
      <c r="P48" s="49">
        <f>IF(COUNTBLANK(J48:O48)=6,"",IF(COUNTIF(J48:O48,"Красный")&gt;0,"Красный",IF(COUNTIF(J48:O48,"Жёлтый")&gt;0,"Жёлтый",IF(COUNTIF(J48:O48,"Не начат")&gt;0,"Не начат","Зелёный"))))</f>
        <v/>
      </c>
      <c r="Q48" s="45" t="inlineStr">
        <is>
          <t>Нет</t>
        </is>
      </c>
      <c r="R48" s="46" t="n"/>
      <c r="S48" s="48" t="inlineStr">
        <is>
          <t>https://ges-2.org/saturday-games</t>
        </is>
      </c>
    </row>
    <row r="49" ht="15" customHeight="1" s="32">
      <c r="A49" s="45" t="n">
        <v>48</v>
      </c>
      <c r="B49" s="46" t="inlineStr">
        <is>
          <t>1=52</t>
        </is>
      </c>
      <c r="C49" s="45" t="inlineStr">
        <is>
          <t>Прочее</t>
        </is>
      </c>
      <c r="D49" s="45" t="inlineStr">
        <is>
          <t>Лёгкий</t>
        </is>
      </c>
      <c r="E49" s="47" t="n">
        <v>46271</v>
      </c>
      <c r="F49" s="47" t="n">
        <v>46292</v>
      </c>
      <c r="G49" s="48">
        <f>E49-TODAY()</f>
        <v/>
      </c>
      <c r="H49" s="45" t="n"/>
      <c r="I49" s="48" t="inlineStr">
        <is>
          <t>Бронирование площадки и ресурсов</t>
        </is>
      </c>
      <c r="J49" s="48" t="n"/>
      <c r="K49" s="48" t="n"/>
      <c r="L49" s="48" t="n"/>
      <c r="M49" s="48" t="n"/>
      <c r="N49" s="48" t="n"/>
      <c r="O49" s="48" t="n"/>
      <c r="P49" s="49">
        <f>IF(COUNTBLANK(J49:O49)=6,"",IF(COUNTIF(J49:O49,"Красный")&gt;0,"Красный",IF(COUNTIF(J49:O49,"Жёлтый")&gt;0,"Жёлтый",IF(COUNTIF(J49:O49,"Не начат")&gt;0,"Не начат","Зелёный"))))</f>
        <v/>
      </c>
      <c r="Q49" s="45" t="inlineStr">
        <is>
          <t>Нет</t>
        </is>
      </c>
      <c r="R49" s="46" t="n"/>
      <c r="S49" s="48" t="inlineStr">
        <is>
          <t>https://ges-2.org/1-52</t>
        </is>
      </c>
    </row>
    <row r="50" ht="15" customHeight="1" s="32">
      <c r="A50" s="45" t="n">
        <v>49</v>
      </c>
      <c r="B50" s="46" t="inlineStr">
        <is>
          <t>Гала. Пять лет музыки</t>
        </is>
      </c>
      <c r="C50" s="45" t="inlineStr">
        <is>
          <t>Концерт</t>
        </is>
      </c>
      <c r="D50" s="45" t="inlineStr">
        <is>
          <t>Тяжёлый</t>
        </is>
      </c>
      <c r="E50" s="47" t="n">
        <v>46272</v>
      </c>
      <c r="F50" s="47" t="n">
        <v>46372</v>
      </c>
      <c r="G50" s="48">
        <f>E50-TODAY()</f>
        <v/>
      </c>
      <c r="H50" s="45" t="n"/>
      <c r="I50" s="48" t="inlineStr">
        <is>
          <t>Продакшн</t>
        </is>
      </c>
      <c r="J50" s="48" t="n"/>
      <c r="K50" s="48" t="n"/>
      <c r="L50" s="48" t="n"/>
      <c r="M50" s="48" t="n"/>
      <c r="N50" s="48" t="n"/>
      <c r="O50" s="48" t="n"/>
      <c r="P50" s="49">
        <f>IF(COUNTBLANK(J50:O50)=6,"",IF(COUNTIF(J50:O50,"Красный")&gt;0,"Красный",IF(COUNTIF(J50:O50,"Жёлтый")&gt;0,"Жёлтый",IF(COUNTIF(J50:O50,"Не начат")&gt;0,"Не начат","Зелёный"))))</f>
        <v/>
      </c>
      <c r="Q50" s="45" t="inlineStr">
        <is>
          <t>Нет</t>
        </is>
      </c>
      <c r="R50" s="46" t="n"/>
      <c r="S50" s="48" t="inlineStr">
        <is>
          <t>https://ges-2.org/projects/gala-five-years-of-music</t>
        </is>
      </c>
    </row>
    <row r="51" ht="15" customHeight="1" s="32">
      <c r="A51" s="45" t="n">
        <v>50</v>
      </c>
      <c r="B51" s="46" t="inlineStr">
        <is>
          <t>Минусболеро</t>
        </is>
      </c>
      <c r="C51" s="45" t="inlineStr">
        <is>
          <t>Концерт</t>
        </is>
      </c>
      <c r="D51" s="45" t="inlineStr">
        <is>
          <t>Тяжёлый</t>
        </is>
      </c>
      <c r="E51" s="47" t="n">
        <v>46272</v>
      </c>
      <c r="F51" s="47" t="n">
        <v>46272</v>
      </c>
      <c r="G51" s="48">
        <f>E51-TODAY()</f>
        <v/>
      </c>
      <c r="H51" s="45" t="n"/>
      <c r="I51" s="48" t="inlineStr">
        <is>
          <t>Продакшн</t>
        </is>
      </c>
      <c r="J51" s="48" t="n"/>
      <c r="K51" s="48" t="n"/>
      <c r="L51" s="48" t="n"/>
      <c r="M51" s="48" t="n"/>
      <c r="N51" s="48" t="n"/>
      <c r="O51" s="48" t="n"/>
      <c r="P51" s="49">
        <f>IF(COUNTBLANK(J51:O51)=6,"",IF(COUNTIF(J51:O51,"Красный")&gt;0,"Красный",IF(COUNTIF(J51:O51,"Жёлтый")&gt;0,"Жёлтый",IF(COUNTIF(J51:O51,"Не начат")&gt;0,"Не начат","Зелёный"))))</f>
        <v/>
      </c>
      <c r="Q51" s="45" t="inlineStr">
        <is>
          <t>Нет</t>
        </is>
      </c>
      <c r="R51" s="46" t="n"/>
      <c r="S51" s="48" t="inlineStr">
        <is>
          <t>https://ges-2.org/minusbolero</t>
        </is>
      </c>
    </row>
    <row r="52" ht="15" customHeight="1" s="32">
      <c r="A52" s="45" t="n">
        <v>51</v>
      </c>
      <c r="B52" s="46" t="inlineStr">
        <is>
          <t>Принты и чудики</t>
        </is>
      </c>
      <c r="C52" s="45" t="inlineStr">
        <is>
          <t>Прочее</t>
        </is>
      </c>
      <c r="D52" s="45" t="inlineStr">
        <is>
          <t>Лёгкий</t>
        </is>
      </c>
      <c r="E52" s="47" t="n">
        <v>46274</v>
      </c>
      <c r="F52" s="47" t="n">
        <v>46288</v>
      </c>
      <c r="G52" s="48">
        <f>E52-TODAY()</f>
        <v/>
      </c>
      <c r="H52" s="45" t="n"/>
      <c r="I52" s="48" t="inlineStr">
        <is>
          <t>Бронирование площадки и ресурсов</t>
        </is>
      </c>
      <c r="J52" s="48" t="n"/>
      <c r="K52" s="48" t="n"/>
      <c r="L52" s="48" t="n"/>
      <c r="M52" s="48" t="n"/>
      <c r="N52" s="48" t="n"/>
      <c r="O52" s="48" t="n"/>
      <c r="P52" s="49">
        <f>IF(COUNTBLANK(J52:O52)=6,"",IF(COUNTIF(J52:O52,"Красный")&gt;0,"Красный",IF(COUNTIF(J52:O52,"Жёлтый")&gt;0,"Жёлтый",IF(COUNTIF(J52:O52,"Не начат")&gt;0,"Не начат","Зелёный"))))</f>
        <v/>
      </c>
      <c r="Q52" s="45" t="inlineStr">
        <is>
          <t>Нет</t>
        </is>
      </c>
      <c r="R52" s="46" t="n"/>
      <c r="S52" s="48" t="inlineStr">
        <is>
          <t>https://ges-2.org/prints-and-oddballs</t>
        </is>
      </c>
    </row>
    <row r="53" ht="15" customHeight="1" s="32">
      <c r="A53" s="45" t="n">
        <v>52</v>
      </c>
      <c r="B53" s="46" t="inlineStr">
        <is>
          <t>Божественная комедия</t>
        </is>
      </c>
      <c r="C53" s="45" t="inlineStr">
        <is>
          <t>Выставка</t>
        </is>
      </c>
      <c r="D53" s="45" t="inlineStr">
        <is>
          <t>Тяжёлый</t>
        </is>
      </c>
      <c r="E53" s="47" t="n">
        <v>46275</v>
      </c>
      <c r="F53" s="47" t="n">
        <v>46275</v>
      </c>
      <c r="G53" s="48">
        <f>E53-TODAY()</f>
        <v/>
      </c>
      <c r="H53" s="45" t="n"/>
      <c r="I53" s="48" t="inlineStr">
        <is>
          <t>Продакшн</t>
        </is>
      </c>
      <c r="J53" s="48" t="n"/>
      <c r="K53" s="48" t="n"/>
      <c r="L53" s="48" t="n"/>
      <c r="M53" s="48" t="n"/>
      <c r="N53" s="48" t="n"/>
      <c r="O53" s="48" t="n"/>
      <c r="P53" s="49">
        <f>IF(COUNTBLANK(J53:O53)=6,"",IF(COUNTIF(J53:O53,"Красный")&gt;0,"Красный",IF(COUNTIF(J53:O53,"Жёлтый")&gt;0,"Жёлтый",IF(COUNTIF(J53:O53,"Не начат")&gt;0,"Не начат","Зелёный"))))</f>
        <v/>
      </c>
      <c r="Q53" s="45" t="inlineStr">
        <is>
          <t>Нет</t>
        </is>
      </c>
      <c r="R53" s="46" t="n"/>
      <c r="S53" s="48" t="inlineStr">
        <is>
          <t>https://ges-2.org/projects/divine-comedy</t>
        </is>
      </c>
    </row>
    <row r="54" ht="15" customHeight="1" s="32">
      <c r="A54" s="45" t="n">
        <v>53</v>
      </c>
      <c r="B54" s="46" t="inlineStr">
        <is>
          <t>Ба-бах!</t>
        </is>
      </c>
      <c r="C54" s="45" t="inlineStr">
        <is>
          <t>Прочее</t>
        </is>
      </c>
      <c r="D54" s="45" t="inlineStr">
        <is>
          <t>Лёгкий</t>
        </is>
      </c>
      <c r="E54" s="47" t="n">
        <v>46275</v>
      </c>
      <c r="F54" s="47" t="n">
        <v>46338</v>
      </c>
      <c r="G54" s="48">
        <f>E54-TODAY()</f>
        <v/>
      </c>
      <c r="H54" s="45" t="n"/>
      <c r="I54" s="48" t="inlineStr">
        <is>
          <t>Бронирование площадки и ресурсов</t>
        </is>
      </c>
      <c r="J54" s="48" t="n"/>
      <c r="K54" s="48" t="n"/>
      <c r="L54" s="48" t="n"/>
      <c r="M54" s="48" t="n"/>
      <c r="N54" s="48" t="n"/>
      <c r="O54" s="48" t="n"/>
      <c r="P54" s="49">
        <f>IF(COUNTBLANK(J54:O54)=6,"",IF(COUNTIF(J54:O54,"Красный")&gt;0,"Красный",IF(COUNTIF(J54:O54,"Жёлтый")&gt;0,"Жёлтый",IF(COUNTIF(J54:O54,"Не начат")&gt;0,"Не начат","Зелёный"))))</f>
        <v/>
      </c>
      <c r="Q54" s="45" t="inlineStr">
        <is>
          <t>Нет</t>
        </is>
      </c>
      <c r="R54" s="46" t="n"/>
      <c r="S54" s="48" t="inlineStr">
        <is>
          <t>https://ges-2.org/boom-bach</t>
        </is>
      </c>
    </row>
    <row r="55" ht="15" customHeight="1" s="32">
      <c r="A55" s="45" t="n">
        <v>54</v>
      </c>
      <c r="B55" s="46" t="inlineStr">
        <is>
          <t>Рогатые и хвостатые</t>
        </is>
      </c>
      <c r="C55" s="45" t="inlineStr">
        <is>
          <t>Прочее</t>
        </is>
      </c>
      <c r="D55" s="45" t="inlineStr">
        <is>
          <t>Лёгкий</t>
        </is>
      </c>
      <c r="E55" s="47" t="n">
        <v>46275</v>
      </c>
      <c r="F55" s="47" t="n">
        <v>46338</v>
      </c>
      <c r="G55" s="48">
        <f>E55-TODAY()</f>
        <v/>
      </c>
      <c r="H55" s="45" t="n"/>
      <c r="I55" s="48" t="inlineStr">
        <is>
          <t>Бронирование площадки и ресурсов</t>
        </is>
      </c>
      <c r="J55" s="48" t="n"/>
      <c r="K55" s="48" t="n"/>
      <c r="L55" s="48" t="n"/>
      <c r="M55" s="48" t="n"/>
      <c r="N55" s="48" t="n"/>
      <c r="O55" s="48" t="n"/>
      <c r="P55" s="49">
        <f>IF(COUNTBLANK(J55:O55)=6,"",IF(COUNTIF(J55:O55,"Красный")&gt;0,"Красный",IF(COUNTIF(J55:O55,"Жёлтый")&gt;0,"Жёлтый",IF(COUNTIF(J55:O55,"Не начат")&gt;0,"Не начат","Зелёный"))))</f>
        <v/>
      </c>
      <c r="Q55" s="45" t="inlineStr">
        <is>
          <t>Нет</t>
        </is>
      </c>
      <c r="R55" s="46" t="n"/>
      <c r="S55" s="48" t="inlineStr">
        <is>
          <t>https://ges-2.org/horned-and-tailed</t>
        </is>
      </c>
    </row>
    <row r="56" ht="15" customHeight="1" s="32">
      <c r="A56" s="45" t="n">
        <v>55</v>
      </c>
      <c r="B56" s="46" t="inlineStr">
        <is>
          <t>Йога выходного дня</t>
        </is>
      </c>
      <c r="C56" s="45" t="inlineStr">
        <is>
          <t>Лекция</t>
        </is>
      </c>
      <c r="D56" s="45" t="inlineStr">
        <is>
          <t>Средний</t>
        </is>
      </c>
      <c r="E56" s="47" t="n">
        <v>46277</v>
      </c>
      <c r="F56" s="47" t="n">
        <v>46354</v>
      </c>
      <c r="G56" s="48">
        <f>E56-TODAY()</f>
        <v/>
      </c>
      <c r="H56" s="45" t="n"/>
      <c r="I56" s="48" t="inlineStr">
        <is>
          <t>Бронирование площадки и ресурсов</t>
        </is>
      </c>
      <c r="J56" s="48" t="n"/>
      <c r="K56" s="48" t="n"/>
      <c r="L56" s="48" t="n"/>
      <c r="M56" s="48" t="n"/>
      <c r="N56" s="48" t="n"/>
      <c r="O56" s="48" t="n"/>
      <c r="P56" s="49">
        <f>IF(COUNTBLANK(J56:O56)=6,"",IF(COUNTIF(J56:O56,"Красный")&gt;0,"Красный",IF(COUNTIF(J56:O56,"Жёлтый")&gt;0,"Жёлтый",IF(COUNTIF(J56:O56,"Не начат")&gt;0,"Не начат","Зелёный"))))</f>
        <v/>
      </c>
      <c r="Q56" s="45" t="inlineStr">
        <is>
          <t>Да</t>
        </is>
      </c>
      <c r="R56" s="46" t="n"/>
      <c r="S56" s="48" t="inlineStr">
        <is>
          <t>https://ges-2.org/weekend-yoga</t>
        </is>
      </c>
    </row>
    <row r="57" ht="15" customHeight="1" s="32">
      <c r="A57" s="45" t="n">
        <v>56</v>
      </c>
      <c r="B57" s="46" t="inlineStr">
        <is>
          <t>Домашний театр</t>
        </is>
      </c>
      <c r="C57" s="45" t="inlineStr">
        <is>
          <t>Прочее</t>
        </is>
      </c>
      <c r="D57" s="45" t="inlineStr">
        <is>
          <t>Лёгкий</t>
        </is>
      </c>
      <c r="E57" s="47" t="n">
        <v>46277</v>
      </c>
      <c r="F57" s="47" t="n">
        <v>46355</v>
      </c>
      <c r="G57" s="48">
        <f>E57-TODAY()</f>
        <v/>
      </c>
      <c r="H57" s="45" t="n"/>
      <c r="I57" s="48" t="inlineStr">
        <is>
          <t>Бронирование площадки и ресурсов</t>
        </is>
      </c>
      <c r="J57" s="48" t="n"/>
      <c r="K57" s="48" t="n"/>
      <c r="L57" s="48" t="n"/>
      <c r="M57" s="48" t="n"/>
      <c r="N57" s="48" t="n"/>
      <c r="O57" s="48" t="n"/>
      <c r="P57" s="49">
        <f>IF(COUNTBLANK(J57:O57)=6,"",IF(COUNTIF(J57:O57,"Красный")&gt;0,"Красный",IF(COUNTIF(J57:O57,"Жёлтый")&gt;0,"Жёлтый",IF(COUNTIF(J57:O57,"Не начат")&gt;0,"Не начат","Зелёный"))))</f>
        <v/>
      </c>
      <c r="Q57" s="45" t="inlineStr">
        <is>
          <t>Нет</t>
        </is>
      </c>
      <c r="R57" s="46" t="n"/>
      <c r="S57" s="48" t="inlineStr">
        <is>
          <t>https://ges-2.org/home-theatre</t>
        </is>
      </c>
    </row>
    <row r="58" ht="15" customHeight="1" s="32">
      <c r="A58" s="45" t="n">
        <v>57</v>
      </c>
      <c r="B58" s="46" t="inlineStr">
        <is>
          <t>Вижу смыслы в каждой травке</t>
        </is>
      </c>
      <c r="C58" s="45" t="inlineStr">
        <is>
          <t>Прочее</t>
        </is>
      </c>
      <c r="D58" s="45" t="inlineStr">
        <is>
          <t>Лёгкий</t>
        </is>
      </c>
      <c r="E58" s="47" t="n">
        <v>46277</v>
      </c>
      <c r="F58" s="47" t="n">
        <v>46368</v>
      </c>
      <c r="G58" s="48">
        <f>E58-TODAY()</f>
        <v/>
      </c>
      <c r="H58" s="45" t="n"/>
      <c r="I58" s="48" t="inlineStr">
        <is>
          <t>Бронирование площадки и ресурсов</t>
        </is>
      </c>
      <c r="J58" s="48" t="n"/>
      <c r="K58" s="48" t="n"/>
      <c r="L58" s="48" t="n"/>
      <c r="M58" s="48" t="n"/>
      <c r="N58" s="48" t="n"/>
      <c r="O58" s="48" t="n"/>
      <c r="P58" s="49">
        <f>IF(COUNTBLANK(J58:O58)=6,"",IF(COUNTIF(J58:O58,"Красный")&gt;0,"Красный",IF(COUNTIF(J58:O58,"Жёлтый")&gt;0,"Жёлтый",IF(COUNTIF(J58:O58,"Не начат")&gt;0,"Не начат","Зелёный"))))</f>
        <v/>
      </c>
      <c r="Q58" s="45" t="inlineStr">
        <is>
          <t>Нет</t>
        </is>
      </c>
      <c r="R58" s="46" t="n"/>
      <c r="S58" s="48" t="inlineStr">
        <is>
          <t>https://ges-2.org/i-see-meaning-in-every-blade-of-grass</t>
        </is>
      </c>
    </row>
    <row r="59" ht="15" customHeight="1" s="32">
      <c r="A59" s="45" t="n">
        <v>58</v>
      </c>
      <c r="B59" s="46" t="inlineStr">
        <is>
          <t>Семейная йога</t>
        </is>
      </c>
      <c r="C59" s="45" t="inlineStr">
        <is>
          <t>Медиаторский тур</t>
        </is>
      </c>
      <c r="D59" s="45" t="inlineStr">
        <is>
          <t>Лёгкий</t>
        </is>
      </c>
      <c r="E59" s="47" t="n">
        <v>46278</v>
      </c>
      <c r="F59" s="47" t="n">
        <v>46278</v>
      </c>
      <c r="G59" s="48">
        <f>E59-TODAY()</f>
        <v/>
      </c>
      <c r="H59" s="45" t="n"/>
      <c r="I59" s="48" t="inlineStr">
        <is>
          <t>Заявка/утверждение</t>
        </is>
      </c>
      <c r="J59" s="48" t="n"/>
      <c r="K59" s="48" t="n"/>
      <c r="L59" s="48" t="n"/>
      <c r="M59" s="48" t="n"/>
      <c r="N59" s="48" t="n"/>
      <c r="O59" s="48" t="n"/>
      <c r="P59" s="49">
        <f>IF(COUNTBLANK(J59:O59)=6,"",IF(COUNTIF(J59:O59,"Красный")&gt;0,"Красный",IF(COUNTIF(J59:O59,"Жёлтый")&gt;0,"Жёлтый",IF(COUNTIF(J59:O59,"Не начат")&gt;0,"Не начат","Зелёный"))))</f>
        <v/>
      </c>
      <c r="Q59" s="45" t="inlineStr">
        <is>
          <t>Нет</t>
        </is>
      </c>
      <c r="R59" s="46" t="n"/>
      <c r="S59" s="48" t="inlineStr">
        <is>
          <t>https://ges-2.org/family-yoga</t>
        </is>
      </c>
    </row>
    <row r="60" ht="15" customHeight="1" s="32">
      <c r="A60" s="45" t="n">
        <v>59</v>
      </c>
      <c r="B60" s="46" t="inlineStr">
        <is>
          <t>И все-таки она вертится</t>
        </is>
      </c>
      <c r="C60" s="45" t="inlineStr">
        <is>
          <t>Концерт</t>
        </is>
      </c>
      <c r="D60" s="45" t="inlineStr">
        <is>
          <t>Тяжёлый</t>
        </is>
      </c>
      <c r="E60" s="47" t="n">
        <v>46279</v>
      </c>
      <c r="F60" s="47" t="n">
        <v>46279</v>
      </c>
      <c r="G60" s="48">
        <f>E60-TODAY()</f>
        <v/>
      </c>
      <c r="H60" s="45" t="n"/>
      <c r="I60" s="48" t="inlineStr">
        <is>
          <t>Продакшн</t>
        </is>
      </c>
      <c r="J60" s="48" t="n"/>
      <c r="K60" s="48" t="n"/>
      <c r="L60" s="48" t="n"/>
      <c r="M60" s="48" t="n"/>
      <c r="N60" s="48" t="n"/>
      <c r="O60" s="48" t="n"/>
      <c r="P60" s="49">
        <f>IF(COUNTBLANK(J60:O60)=6,"",IF(COUNTIF(J60:O60,"Красный")&gt;0,"Красный",IF(COUNTIF(J60:O60,"Жёлтый")&gt;0,"Жёлтый",IF(COUNTIF(J60:O60,"Не начат")&gt;0,"Не начат","Зелёный"))))</f>
        <v/>
      </c>
      <c r="Q60" s="45" t="inlineStr">
        <is>
          <t>Нет</t>
        </is>
      </c>
      <c r="R60" s="46" t="n"/>
      <c r="S60" s="48" t="inlineStr">
        <is>
          <t>https://ges-2.org/and-yet-it-moves-2026</t>
        </is>
      </c>
    </row>
    <row r="61" ht="15" customHeight="1" s="32">
      <c r="A61" s="45" t="n">
        <v>60</v>
      </c>
      <c r="B61" s="46" t="inlineStr">
        <is>
          <t>Город, который придумал я</t>
        </is>
      </c>
      <c r="C61" s="45" t="inlineStr">
        <is>
          <t>Прочее</t>
        </is>
      </c>
      <c r="D61" s="45" t="inlineStr">
        <is>
          <t>Лёгкий</t>
        </is>
      </c>
      <c r="E61" s="47" t="n">
        <v>46281</v>
      </c>
      <c r="F61" s="47" t="n">
        <v>46358</v>
      </c>
      <c r="G61" s="48">
        <f>E61-TODAY()</f>
        <v/>
      </c>
      <c r="H61" s="45" t="n"/>
      <c r="I61" s="48" t="inlineStr">
        <is>
          <t>Заявка/утверждение</t>
        </is>
      </c>
      <c r="J61" s="48" t="n"/>
      <c r="K61" s="48" t="n"/>
      <c r="L61" s="48" t="n"/>
      <c r="M61" s="48" t="n"/>
      <c r="N61" s="48" t="n"/>
      <c r="O61" s="48" t="n"/>
      <c r="P61" s="49">
        <f>IF(COUNTBLANK(J61:O61)=6,"",IF(COUNTIF(J61:O61,"Красный")&gt;0,"Красный",IF(COUNTIF(J61:O61,"Жёлтый")&gt;0,"Жёлтый",IF(COUNTIF(J61:O61,"Не начат")&gt;0,"Не начат","Зелёный"))))</f>
        <v/>
      </c>
      <c r="Q61" s="45" t="inlineStr">
        <is>
          <t>Нет</t>
        </is>
      </c>
      <c r="R61" s="46" t="n"/>
      <c r="S61" s="48" t="inlineStr">
        <is>
          <t>https://ges-2.org/the-city-i-made-up</t>
        </is>
      </c>
    </row>
    <row r="62" ht="15" customHeight="1" s="32">
      <c r="A62" s="45" t="n">
        <v>61</v>
      </c>
      <c r="B62" s="46" t="inlineStr">
        <is>
          <t>Фестиваль коллективных фильмов</t>
        </is>
      </c>
      <c r="C62" s="45" t="inlineStr">
        <is>
          <t>Кинопоказ</t>
        </is>
      </c>
      <c r="D62" s="45" t="inlineStr">
        <is>
          <t>Тяжёлый</t>
        </is>
      </c>
      <c r="E62" s="47" t="n">
        <v>46282</v>
      </c>
      <c r="F62" s="47" t="n">
        <v>46296</v>
      </c>
      <c r="G62" s="48">
        <f>E62-TODAY()</f>
        <v/>
      </c>
      <c r="H62" s="45" t="n"/>
      <c r="I62" s="48" t="inlineStr">
        <is>
          <t>Продакшн</t>
        </is>
      </c>
      <c r="J62" s="48" t="n"/>
      <c r="K62" s="48" t="n"/>
      <c r="L62" s="48" t="n"/>
      <c r="M62" s="48" t="n"/>
      <c r="N62" s="48" t="n"/>
      <c r="O62" s="48" t="n"/>
      <c r="P62" s="49">
        <f>IF(COUNTBLANK(J62:O62)=6,"",IF(COUNTIF(J62:O62,"Красный")&gt;0,"Красный",IF(COUNTIF(J62:O62,"Жёлтый")&gt;0,"Жёлтый",IF(COUNTIF(J62:O62,"Не начат")&gt;0,"Не начат","Зелёный"))))</f>
        <v/>
      </c>
      <c r="Q62" s="45" t="inlineStr">
        <is>
          <t>Нет</t>
        </is>
      </c>
      <c r="R62" s="46" t="n"/>
      <c r="S62" s="48" t="inlineStr">
        <is>
          <t>https://ges-2.org/projects/festival-of-collective-films</t>
        </is>
      </c>
    </row>
    <row r="63" ht="15" customHeight="1" s="32">
      <c r="A63" s="45" t="n">
        <v>62</v>
      </c>
      <c r="B63" s="46" t="inlineStr">
        <is>
          <t>Излучение голоса</t>
        </is>
      </c>
      <c r="C63" s="45" t="inlineStr">
        <is>
          <t>Прочее</t>
        </is>
      </c>
      <c r="D63" s="45" t="inlineStr">
        <is>
          <t>Лёгкий</t>
        </is>
      </c>
      <c r="E63" s="47" t="n">
        <v>46284</v>
      </c>
      <c r="F63" s="47" t="n">
        <v>46347</v>
      </c>
      <c r="G63" s="48">
        <f>E63-TODAY()</f>
        <v/>
      </c>
      <c r="H63" s="45" t="n"/>
      <c r="I63" s="48" t="inlineStr">
        <is>
          <t>Заявка/утверждение</t>
        </is>
      </c>
      <c r="J63" s="48" t="n"/>
      <c r="K63" s="48" t="n"/>
      <c r="L63" s="48" t="n"/>
      <c r="M63" s="48" t="n"/>
      <c r="N63" s="48" t="n"/>
      <c r="O63" s="48" t="n"/>
      <c r="P63" s="49">
        <f>IF(COUNTBLANK(J63:O63)=6,"",IF(COUNTIF(J63:O63,"Красный")&gt;0,"Красный",IF(COUNTIF(J63:O63,"Жёлтый")&gt;0,"Жёлтый",IF(COUNTIF(J63:O63,"Не начат")&gt;0,"Не начат","Зелёный"))))</f>
        <v/>
      </c>
      <c r="Q63" s="45" t="inlineStr">
        <is>
          <t>Нет</t>
        </is>
      </c>
      <c r="R63" s="46" t="n"/>
      <c r="S63" s="48" t="inlineStr">
        <is>
          <t>https://ges-2.org/voice-radiation</t>
        </is>
      </c>
    </row>
    <row r="64" ht="15" customHeight="1" s="32">
      <c r="A64" s="45" t="n">
        <v>63</v>
      </c>
      <c r="B64" s="46" t="inlineStr">
        <is>
          <t>В полный голос. Осень 2026</t>
        </is>
      </c>
      <c r="C64" s="45" t="inlineStr">
        <is>
          <t>Лекция</t>
        </is>
      </c>
      <c r="D64" s="45" t="inlineStr">
        <is>
          <t>Лёгкий</t>
        </is>
      </c>
      <c r="E64" s="47" t="n">
        <v>46284</v>
      </c>
      <c r="F64" s="47" t="n">
        <v>46363</v>
      </c>
      <c r="G64" s="48">
        <f>E64-TODAY()</f>
        <v/>
      </c>
      <c r="H64" s="45" t="n"/>
      <c r="I64" s="48" t="inlineStr">
        <is>
          <t>Заявка/утверждение</t>
        </is>
      </c>
      <c r="J64" s="48" t="n"/>
      <c r="K64" s="48" t="n"/>
      <c r="L64" s="48" t="n"/>
      <c r="M64" s="48" t="n"/>
      <c r="N64" s="48" t="n"/>
      <c r="O64" s="48" t="n"/>
      <c r="P64" s="49">
        <f>IF(COUNTBLANK(J64:O64)=6,"",IF(COUNTIF(J64:O64,"Красный")&gt;0,"Красный",IF(COUNTIF(J64:O64,"Жёлтый")&gt;0,"Жёлтый",IF(COUNTIF(J64:O64,"Не начат")&gt;0,"Не начат","Зелёный"))))</f>
        <v/>
      </c>
      <c r="Q64" s="45" t="inlineStr">
        <is>
          <t>Нет</t>
        </is>
      </c>
      <c r="R64" s="46" t="n"/>
      <c r="S64" s="48" t="inlineStr">
        <is>
          <t>https://ges-2.org/projects/in-a-loud-voice-autumn-2026</t>
        </is>
      </c>
    </row>
    <row r="65" ht="15" customHeight="1" s="32">
      <c r="A65" s="45" t="n">
        <v>64</v>
      </c>
      <c r="B65" s="46" t="inlineStr">
        <is>
          <t>А и Б сидели на трубе</t>
        </is>
      </c>
      <c r="C65" s="45" t="inlineStr">
        <is>
          <t>Прочее</t>
        </is>
      </c>
      <c r="D65" s="45" t="inlineStr">
        <is>
          <t>Средний</t>
        </is>
      </c>
      <c r="E65" s="47" t="n">
        <v>46287</v>
      </c>
      <c r="F65" s="47" t="n">
        <v>46364</v>
      </c>
      <c r="G65" s="48">
        <f>E65-TODAY()</f>
        <v/>
      </c>
      <c r="H65" s="45" t="n"/>
      <c r="I65" s="48" t="inlineStr">
        <is>
          <t>Бронирование площадки и ресурсов</t>
        </is>
      </c>
      <c r="J65" s="48" t="n"/>
      <c r="K65" s="48" t="n"/>
      <c r="L65" s="48" t="n"/>
      <c r="M65" s="48" t="n"/>
      <c r="N65" s="48" t="n"/>
      <c r="O65" s="48" t="n"/>
      <c r="P65" s="49">
        <f>IF(COUNTBLANK(J65:O65)=6,"",IF(COUNTIF(J65:O65,"Красный")&gt;0,"Красный",IF(COUNTIF(J65:O65,"Жёлтый")&gt;0,"Жёлтый",IF(COUNTIF(J65:O65,"Не начат")&gt;0,"Не начат","Зелёный"))))</f>
        <v/>
      </c>
      <c r="Q65" s="45" t="inlineStr">
        <is>
          <t>Да</t>
        </is>
      </c>
      <c r="R65" s="46" t="n"/>
      <c r="S65" s="48" t="inlineStr">
        <is>
          <t>https://ges-2.org/a-and-b-were-sitting-on-a-pipe</t>
        </is>
      </c>
    </row>
    <row r="66" ht="15" customHeight="1" s="32">
      <c r="A66" s="45" t="n">
        <v>65</v>
      </c>
      <c r="B66" s="46" t="inlineStr">
        <is>
          <t>Лесные человечки</t>
        </is>
      </c>
      <c r="C66" s="45" t="inlineStr">
        <is>
          <t>Прочее</t>
        </is>
      </c>
      <c r="D66" s="45" t="inlineStr">
        <is>
          <t>Лёгкий</t>
        </is>
      </c>
      <c r="E66" s="47" t="n">
        <v>46287</v>
      </c>
      <c r="F66" s="47" t="n">
        <v>46364</v>
      </c>
      <c r="G66" s="48">
        <f>E66-TODAY()</f>
        <v/>
      </c>
      <c r="H66" s="45" t="n"/>
      <c r="I66" s="48" t="inlineStr">
        <is>
          <t>Заявка/утверждение</t>
        </is>
      </c>
      <c r="J66" s="48" t="n"/>
      <c r="K66" s="48" t="n"/>
      <c r="L66" s="48" t="n"/>
      <c r="M66" s="48" t="n"/>
      <c r="N66" s="48" t="n"/>
      <c r="O66" s="48" t="n"/>
      <c r="P66" s="49">
        <f>IF(COUNTBLANK(J66:O66)=6,"",IF(COUNTIF(J66:O66,"Красный")&gt;0,"Красный",IF(COUNTIF(J66:O66,"Жёлтый")&gt;0,"Жёлтый",IF(COUNTIF(J66:O66,"Не начат")&gt;0,"Не начат","Зелёный"))))</f>
        <v/>
      </c>
      <c r="Q66" s="45" t="inlineStr">
        <is>
          <t>Нет</t>
        </is>
      </c>
      <c r="R66" s="46" t="n"/>
      <c r="S66" s="48" t="inlineStr">
        <is>
          <t>https://ges-2.org/forest-people</t>
        </is>
      </c>
    </row>
    <row r="67" ht="15" customHeight="1" s="32">
      <c r="A67" s="45" t="n">
        <v>66</v>
      </c>
      <c r="B67" s="46" t="inlineStr">
        <is>
          <t>Как управлять хаосом?</t>
        </is>
      </c>
      <c r="C67" s="45" t="inlineStr">
        <is>
          <t>Прочее</t>
        </is>
      </c>
      <c r="D67" s="45" t="inlineStr">
        <is>
          <t>Средний</t>
        </is>
      </c>
      <c r="E67" s="47" t="n">
        <v>46288</v>
      </c>
      <c r="F67" s="47" t="n">
        <v>46358</v>
      </c>
      <c r="G67" s="48">
        <f>E67-TODAY()</f>
        <v/>
      </c>
      <c r="H67" s="45" t="n"/>
      <c r="I67" s="48" t="inlineStr">
        <is>
          <t>Заявка/утверждение</t>
        </is>
      </c>
      <c r="J67" s="48" t="n"/>
      <c r="K67" s="48" t="n"/>
      <c r="L67" s="48" t="n"/>
      <c r="M67" s="48" t="n"/>
      <c r="N67" s="48" t="n"/>
      <c r="O67" s="48" t="n"/>
      <c r="P67" s="49">
        <f>IF(COUNTBLANK(J67:O67)=6,"",IF(COUNTIF(J67:O67,"Красный")&gt;0,"Красный",IF(COUNTIF(J67:O67,"Жёлтый")&gt;0,"Жёлтый",IF(COUNTIF(J67:O67,"Не начат")&gt;0,"Не начат","Зелёный"))))</f>
        <v/>
      </c>
      <c r="Q67" s="45" t="inlineStr">
        <is>
          <t>Да</t>
        </is>
      </c>
      <c r="R67" s="46" t="n"/>
      <c r="S67" s="48" t="inlineStr">
        <is>
          <t>https://ges-2.org/how-to-control-chaos</t>
        </is>
      </c>
    </row>
    <row r="68" ht="15" customHeight="1" s="32">
      <c r="A68" s="45" t="n">
        <v>67</v>
      </c>
      <c r="B68" s="46" t="inlineStr">
        <is>
          <t>Эффект бабочки</t>
        </is>
      </c>
      <c r="C68" s="45" t="inlineStr">
        <is>
          <t>Прочее</t>
        </is>
      </c>
      <c r="D68" s="45" t="inlineStr">
        <is>
          <t>Лёгкий</t>
        </is>
      </c>
      <c r="E68" s="47" t="n">
        <v>46299</v>
      </c>
      <c r="F68" s="47" t="n">
        <v>46320</v>
      </c>
      <c r="G68" s="48">
        <f>E68-TODAY()</f>
        <v/>
      </c>
      <c r="H68" s="45" t="n"/>
      <c r="I68" s="48" t="inlineStr">
        <is>
          <t>Заявка/утверждение</t>
        </is>
      </c>
      <c r="J68" s="48" t="n"/>
      <c r="K68" s="48" t="n"/>
      <c r="L68" s="48" t="n"/>
      <c r="M68" s="48" t="n"/>
      <c r="N68" s="48" t="n"/>
      <c r="O68" s="48" t="n"/>
      <c r="P68" s="49">
        <f>IF(COUNTBLANK(J68:O68)=6,"",IF(COUNTIF(J68:O68,"Красный")&gt;0,"Красный",IF(COUNTIF(J68:O68,"Жёлтый")&gt;0,"Жёлтый",IF(COUNTIF(J68:O68,"Не начат")&gt;0,"Не начат","Зелёный"))))</f>
        <v/>
      </c>
      <c r="Q68" s="45" t="inlineStr">
        <is>
          <t>Нет</t>
        </is>
      </c>
      <c r="R68" s="46" t="n"/>
      <c r="S68" s="48" t="inlineStr">
        <is>
          <t>https://ges-2.org/butterfly-effect</t>
        </is>
      </c>
    </row>
    <row r="69" ht="15" customHeight="1" s="32">
      <c r="A69" s="45" t="n">
        <v>68</v>
      </c>
      <c r="B69" s="46" t="inlineStr">
        <is>
          <t>Йога смеха</t>
        </is>
      </c>
      <c r="C69" s="45" t="inlineStr">
        <is>
          <t>Медиаторский тур</t>
        </is>
      </c>
      <c r="D69" s="45" t="inlineStr">
        <is>
          <t>Средний</t>
        </is>
      </c>
      <c r="E69" s="47" t="n">
        <v>46303</v>
      </c>
      <c r="F69" s="47" t="n">
        <v>46352</v>
      </c>
      <c r="G69" s="48">
        <f>E69-TODAY()</f>
        <v/>
      </c>
      <c r="H69" s="45" t="n"/>
      <c r="I69" s="48" t="inlineStr">
        <is>
          <t>Заявка/утверждение</t>
        </is>
      </c>
      <c r="J69" s="48" t="n"/>
      <c r="K69" s="48" t="n"/>
      <c r="L69" s="48" t="n"/>
      <c r="M69" s="48" t="n"/>
      <c r="N69" s="48" t="n"/>
      <c r="O69" s="48" t="n"/>
      <c r="P69" s="49">
        <f>IF(COUNTBLANK(J69:O69)=6,"",IF(COUNTIF(J69:O69,"Красный")&gt;0,"Красный",IF(COUNTIF(J69:O69,"Жёлтый")&gt;0,"Жёлтый",IF(COUNTIF(J69:O69,"Не начат")&gt;0,"Не начат","Зелёный"))))</f>
        <v/>
      </c>
      <c r="Q69" s="45" t="inlineStr">
        <is>
          <t>Да</t>
        </is>
      </c>
      <c r="R69" s="46" t="n"/>
      <c r="S69" s="48" t="inlineStr">
        <is>
          <t>https://ges-2.org/laughter-yoga</t>
        </is>
      </c>
    </row>
    <row r="70" ht="15" customHeight="1" s="32">
      <c r="A70" s="45" t="n">
        <v>69</v>
      </c>
      <c r="B70" s="46" t="inlineStr">
        <is>
          <t>Мастерская кикимор</t>
        </is>
      </c>
      <c r="C70" s="45" t="inlineStr">
        <is>
          <t>Прочее</t>
        </is>
      </c>
      <c r="D70" s="45" t="inlineStr">
        <is>
          <t>Лёгкий</t>
        </is>
      </c>
      <c r="E70" s="47" t="n">
        <v>46306</v>
      </c>
      <c r="F70" s="47" t="n">
        <v>46306</v>
      </c>
      <c r="G70" s="48">
        <f>E70-TODAY()</f>
        <v/>
      </c>
      <c r="H70" s="45" t="n"/>
      <c r="I70" s="48" t="inlineStr">
        <is>
          <t>Заявка/утверждение</t>
        </is>
      </c>
      <c r="J70" s="48" t="n"/>
      <c r="K70" s="48" t="n"/>
      <c r="L70" s="48" t="n"/>
      <c r="M70" s="48" t="n"/>
      <c r="N70" s="48" t="n"/>
      <c r="O70" s="48" t="n"/>
      <c r="P70" s="49">
        <f>IF(COUNTBLANK(J70:O70)=6,"",IF(COUNTIF(J70:O70,"Красный")&gt;0,"Красный",IF(COUNTIF(J70:O70,"Жёлтый")&gt;0,"Жёлтый",IF(COUNTIF(J70:O70,"Не начат")&gt;0,"Не начат","Зелёный"))))</f>
        <v/>
      </c>
      <c r="Q70" s="45" t="inlineStr">
        <is>
          <t>Нет</t>
        </is>
      </c>
      <c r="R70" s="46" t="n"/>
      <c r="S70" s="48" t="inlineStr">
        <is>
          <t>https://ges-2.org/kikimoras-workshop</t>
        </is>
      </c>
    </row>
    <row r="71" ht="23.85" customHeight="1" s="32">
      <c r="A71" s="45" t="n">
        <v>70</v>
      </c>
      <c r="B71" s="46" t="inlineStr">
        <is>
          <t>Натюрморт. Портрет. Пейзаж. После жанра</t>
        </is>
      </c>
      <c r="C71" s="45" t="inlineStr">
        <is>
          <t>Выставка</t>
        </is>
      </c>
      <c r="D71" s="45" t="inlineStr">
        <is>
          <t>Тяжёлый</t>
        </is>
      </c>
      <c r="E71" s="47" t="n">
        <v>46310</v>
      </c>
      <c r="F71" s="47" t="n">
        <v>46502</v>
      </c>
      <c r="G71" s="48">
        <f>E71-TODAY()</f>
        <v/>
      </c>
      <c r="H71" s="45" t="n"/>
      <c r="I71" s="48" t="inlineStr">
        <is>
          <t>Бронирование площадки и ресурсов</t>
        </is>
      </c>
      <c r="J71" s="48" t="n"/>
      <c r="K71" s="48" t="n"/>
      <c r="L71" s="48" t="n"/>
      <c r="M71" s="48" t="n"/>
      <c r="N71" s="48" t="n"/>
      <c r="O71" s="48" t="n"/>
      <c r="P71" s="49">
        <f>IF(COUNTBLANK(J71:O71)=6,"",IF(COUNTIF(J71:O71,"Красный")&gt;0,"Красный",IF(COUNTIF(J71:O71,"Жёлтый")&gt;0,"Жёлтый",IF(COUNTIF(J71:O71,"Не начат")&gt;0,"Не начат","Зелёный"))))</f>
        <v/>
      </c>
      <c r="Q71" s="45" t="inlineStr">
        <is>
          <t>Нет</t>
        </is>
      </c>
      <c r="R71" s="46" t="inlineStr">
        <is>
          <t>Открытие только 15.10 — после почти месячного окна на монтаж/демонтаж.</t>
        </is>
      </c>
      <c r="S71" s="48" t="inlineStr">
        <is>
          <t>https://ges-2.org/projects/crisis-of-genre-still-life-portrait-landscape</t>
        </is>
      </c>
    </row>
    <row r="72" ht="15" customHeight="1" s="32">
      <c r="A72" s="45" t="n">
        <v>71</v>
      </c>
      <c r="B72" s="46" t="inlineStr">
        <is>
          <t>Ламповый Новый год</t>
        </is>
      </c>
      <c r="C72" s="45" t="inlineStr">
        <is>
          <t>Прочее</t>
        </is>
      </c>
      <c r="D72" s="45" t="inlineStr">
        <is>
          <t>Лёгкий</t>
        </is>
      </c>
      <c r="E72" s="47" t="n">
        <v>46314</v>
      </c>
      <c r="F72" s="47" t="n">
        <v>46363</v>
      </c>
      <c r="G72" s="48">
        <f>E72-TODAY()</f>
        <v/>
      </c>
      <c r="H72" s="45" t="n"/>
      <c r="I72" s="48" t="inlineStr">
        <is>
          <t>Заявка/утверждение</t>
        </is>
      </c>
      <c r="J72" s="48" t="n"/>
      <c r="K72" s="48" t="n"/>
      <c r="L72" s="48" t="n"/>
      <c r="M72" s="48" t="n"/>
      <c r="N72" s="48" t="n"/>
      <c r="O72" s="48" t="n"/>
      <c r="P72" s="49">
        <f>IF(COUNTBLANK(J72:O72)=6,"",IF(COUNTIF(J72:O72,"Красный")&gt;0,"Красный",IF(COUNTIF(J72:O72,"Жёлтый")&gt;0,"Жёлтый",IF(COUNTIF(J72:O72,"Не начат")&gt;0,"Не начат","Зелёный"))))</f>
        <v/>
      </c>
      <c r="Q72" s="45" t="inlineStr">
        <is>
          <t>Нет</t>
        </is>
      </c>
      <c r="R72" s="46" t="n"/>
      <c r="S72" s="48" t="inlineStr">
        <is>
          <t>https://ges-2.org/analogue-new-year</t>
        </is>
      </c>
    </row>
    <row r="73" ht="15" customHeight="1" s="32">
      <c r="A73" s="45" t="n">
        <v>72</v>
      </c>
      <c r="B73" s="46" t="inlineStr">
        <is>
          <t>След в воздухе</t>
        </is>
      </c>
      <c r="C73" s="45" t="inlineStr">
        <is>
          <t>Прочее</t>
        </is>
      </c>
      <c r="D73" s="45" t="inlineStr">
        <is>
          <t>Лёгкий</t>
        </is>
      </c>
      <c r="E73" s="47" t="n">
        <v>46334</v>
      </c>
      <c r="F73" s="47" t="n">
        <v>46355</v>
      </c>
      <c r="G73" s="48">
        <f>E73-TODAY()</f>
        <v/>
      </c>
      <c r="H73" s="45" t="n"/>
      <c r="I73" s="48" t="inlineStr">
        <is>
          <t>Заявка/утверждение</t>
        </is>
      </c>
      <c r="J73" s="48" t="n"/>
      <c r="K73" s="48" t="n"/>
      <c r="L73" s="48" t="n"/>
      <c r="M73" s="48" t="n"/>
      <c r="N73" s="48" t="n"/>
      <c r="O73" s="48" t="n"/>
      <c r="P73" s="49">
        <f>IF(COUNTBLANK(J73:O73)=6,"",IF(COUNTIF(J73:O73,"Красный")&gt;0,"Красный",IF(COUNTIF(J73:O73,"Жёлтый")&gt;0,"Жёлтый",IF(COUNTIF(J73:O73,"Не начат")&gt;0,"Не начат","Зелёный"))))</f>
        <v/>
      </c>
      <c r="Q73" s="45" t="inlineStr">
        <is>
          <t>Нет</t>
        </is>
      </c>
      <c r="R73" s="46" t="n"/>
      <c r="S73" s="48" t="inlineStr">
        <is>
          <t>https://ges-2.org/a-trace-in-the-air</t>
        </is>
      </c>
    </row>
    <row r="74" ht="15" customHeight="1" s="32">
      <c r="A74" s="50" t="n"/>
      <c r="B74" s="50" t="n"/>
      <c r="C74" s="50" t="n"/>
      <c r="D74" s="50" t="n"/>
      <c r="E74" s="51" t="n"/>
      <c r="F74" s="51" t="n"/>
      <c r="G74" s="52">
        <f>IF(E74="","",E74-TODAY())</f>
        <v/>
      </c>
      <c r="H74" s="50" t="n"/>
      <c r="I74" s="50" t="n"/>
      <c r="J74" s="50" t="n"/>
      <c r="K74" s="50" t="n"/>
      <c r="L74" s="50" t="n"/>
      <c r="M74" s="50" t="n"/>
      <c r="N74" s="50" t="n"/>
      <c r="O74" s="50" t="n"/>
      <c r="P74" s="53">
        <f>IF(B74="","",IF(COUNTBLANK(J74:O74)=6,"",IF(COUNTIF(J74:O74,"Красный")&gt;0,"Красный",IF(COUNTIF(J74:O74,"Жёлтый")&gt;0,"Жёлтый",IF(COUNTIF(J74:O74,"Не начат")&gt;0,"Не начат","Зелёный")))))</f>
        <v/>
      </c>
      <c r="Q74" s="50" t="n"/>
      <c r="R74" s="50" t="n"/>
      <c r="S74" s="50" t="n"/>
    </row>
    <row r="75" ht="15" customHeight="1" s="32">
      <c r="A75" s="50" t="n"/>
      <c r="B75" s="50" t="n"/>
      <c r="C75" s="50" t="n"/>
      <c r="D75" s="50" t="n"/>
      <c r="E75" s="51" t="n"/>
      <c r="F75" s="51" t="n"/>
      <c r="G75" s="52">
        <f>IF(E75="","",E75-TODAY())</f>
        <v/>
      </c>
      <c r="H75" s="50" t="n"/>
      <c r="I75" s="50" t="n"/>
      <c r="J75" s="50" t="n"/>
      <c r="K75" s="50" t="n"/>
      <c r="L75" s="50" t="n"/>
      <c r="M75" s="50" t="n"/>
      <c r="N75" s="50" t="n"/>
      <c r="O75" s="50" t="n"/>
      <c r="P75" s="53">
        <f>IF(B75="","",IF(COUNTBLANK(J75:O75)=6,"",IF(COUNTIF(J75:O75,"Красный")&gt;0,"Красный",IF(COUNTIF(J75:O75,"Жёлтый")&gt;0,"Жёлтый",IF(COUNTIF(J75:O75,"Не начат")&gt;0,"Не начат","Зелёный")))))</f>
        <v/>
      </c>
      <c r="Q75" s="50" t="n"/>
      <c r="R75" s="50" t="n"/>
      <c r="S75" s="50" t="n"/>
    </row>
    <row r="76" ht="15" customHeight="1" s="32">
      <c r="A76" s="50" t="n"/>
      <c r="B76" s="50" t="n"/>
      <c r="C76" s="50" t="n"/>
      <c r="D76" s="50" t="n"/>
      <c r="E76" s="51" t="n"/>
      <c r="F76" s="51" t="n"/>
      <c r="G76" s="52">
        <f>IF(E76="","",E76-TODAY())</f>
        <v/>
      </c>
      <c r="H76" s="50" t="n"/>
      <c r="I76" s="50" t="n"/>
      <c r="J76" s="50" t="n"/>
      <c r="K76" s="50" t="n"/>
      <c r="L76" s="50" t="n"/>
      <c r="M76" s="50" t="n"/>
      <c r="N76" s="50" t="n"/>
      <c r="O76" s="50" t="n"/>
      <c r="P76" s="53">
        <f>IF(B76="","",IF(COUNTBLANK(J76:O76)=6,"",IF(COUNTIF(J76:O76,"Красный")&gt;0,"Красный",IF(COUNTIF(J76:O76,"Жёлтый")&gt;0,"Жёлтый",IF(COUNTIF(J76:O76,"Не начат")&gt;0,"Не начат","Зелёный")))))</f>
        <v/>
      </c>
      <c r="Q76" s="50" t="n"/>
      <c r="R76" s="50" t="n"/>
      <c r="S76" s="50" t="n"/>
    </row>
    <row r="77" ht="15" customHeight="1" s="32">
      <c r="A77" s="50" t="n"/>
      <c r="B77" s="50" t="n"/>
      <c r="C77" s="50" t="n"/>
      <c r="D77" s="50" t="n"/>
      <c r="E77" s="51" t="n"/>
      <c r="F77" s="51" t="n"/>
      <c r="G77" s="52">
        <f>IF(E77="","",E77-TODAY())</f>
        <v/>
      </c>
      <c r="H77" s="50" t="n"/>
      <c r="I77" s="50" t="n"/>
      <c r="J77" s="50" t="n"/>
      <c r="K77" s="50" t="n"/>
      <c r="L77" s="50" t="n"/>
      <c r="M77" s="50" t="n"/>
      <c r="N77" s="50" t="n"/>
      <c r="O77" s="50" t="n"/>
      <c r="P77" s="53">
        <f>IF(B77="","",IF(COUNTBLANK(J77:O77)=6,"",IF(COUNTIF(J77:O77,"Красный")&gt;0,"Красный",IF(COUNTIF(J77:O77,"Жёлтый")&gt;0,"Жёлтый",IF(COUNTIF(J77:O77,"Не начат")&gt;0,"Не начат","Зелёный")))))</f>
        <v/>
      </c>
      <c r="Q77" s="50" t="n"/>
      <c r="R77" s="50" t="n"/>
      <c r="S77" s="50" t="n"/>
    </row>
    <row r="78" ht="15" customHeight="1" s="32">
      <c r="A78" s="50" t="n"/>
      <c r="B78" s="50" t="n"/>
      <c r="C78" s="50" t="n"/>
      <c r="D78" s="50" t="n"/>
      <c r="E78" s="51" t="n"/>
      <c r="F78" s="51" t="n"/>
      <c r="G78" s="52">
        <f>IF(E78="","",E78-TODAY())</f>
        <v/>
      </c>
      <c r="H78" s="50" t="n"/>
      <c r="I78" s="50" t="n"/>
      <c r="J78" s="50" t="n"/>
      <c r="K78" s="50" t="n"/>
      <c r="L78" s="50" t="n"/>
      <c r="M78" s="50" t="n"/>
      <c r="N78" s="50" t="n"/>
      <c r="O78" s="50" t="n"/>
      <c r="P78" s="53">
        <f>IF(B78="","",IF(COUNTBLANK(J78:O78)=6,"",IF(COUNTIF(J78:O78,"Красный")&gt;0,"Красный",IF(COUNTIF(J78:O78,"Жёлтый")&gt;0,"Жёлтый",IF(COUNTIF(J78:O78,"Не начат")&gt;0,"Не начат","Зелёный")))))</f>
        <v/>
      </c>
      <c r="Q78" s="50" t="n"/>
      <c r="R78" s="50" t="n"/>
      <c r="S78" s="50" t="n"/>
    </row>
    <row r="79" ht="15" customHeight="1" s="32">
      <c r="A79" s="50" t="n"/>
      <c r="B79" s="50" t="n"/>
      <c r="C79" s="50" t="n"/>
      <c r="D79" s="50" t="n"/>
      <c r="E79" s="51" t="n"/>
      <c r="F79" s="51" t="n"/>
      <c r="G79" s="52">
        <f>IF(E79="","",E79-TODAY())</f>
        <v/>
      </c>
      <c r="H79" s="50" t="n"/>
      <c r="I79" s="50" t="n"/>
      <c r="J79" s="50" t="n"/>
      <c r="K79" s="50" t="n"/>
      <c r="L79" s="50" t="n"/>
      <c r="M79" s="50" t="n"/>
      <c r="N79" s="50" t="n"/>
      <c r="O79" s="50" t="n"/>
      <c r="P79" s="53">
        <f>IF(B79="","",IF(COUNTBLANK(J79:O79)=6,"",IF(COUNTIF(J79:O79,"Красный")&gt;0,"Красный",IF(COUNTIF(J79:O79,"Жёлтый")&gt;0,"Жёлтый",IF(COUNTIF(J79:O79,"Не начат")&gt;0,"Не начат","Зелёный")))))</f>
        <v/>
      </c>
      <c r="Q79" s="50" t="n"/>
      <c r="R79" s="50" t="n"/>
      <c r="S79" s="50" t="n"/>
    </row>
    <row r="80" ht="15" customHeight="1" s="32">
      <c r="A80" s="50" t="n"/>
      <c r="B80" s="50" t="n"/>
      <c r="C80" s="50" t="n"/>
      <c r="D80" s="50" t="n"/>
      <c r="E80" s="51" t="n"/>
      <c r="F80" s="51" t="n"/>
      <c r="G80" s="52">
        <f>IF(E80="","",E80-TODAY())</f>
        <v/>
      </c>
      <c r="H80" s="50" t="n"/>
      <c r="I80" s="50" t="n"/>
      <c r="J80" s="50" t="n"/>
      <c r="K80" s="50" t="n"/>
      <c r="L80" s="50" t="n"/>
      <c r="M80" s="50" t="n"/>
      <c r="N80" s="50" t="n"/>
      <c r="O80" s="50" t="n"/>
      <c r="P80" s="53">
        <f>IF(B80="","",IF(COUNTBLANK(J80:O80)=6,"",IF(COUNTIF(J80:O80,"Красный")&gt;0,"Красный",IF(COUNTIF(J80:O80,"Жёлтый")&gt;0,"Жёлтый",IF(COUNTIF(J80:O80,"Не начат")&gt;0,"Не начат","Зелёный")))))</f>
        <v/>
      </c>
      <c r="Q80" s="50" t="n"/>
      <c r="R80" s="50" t="n"/>
      <c r="S80" s="50" t="n"/>
    </row>
    <row r="81" ht="15" customHeight="1" s="32">
      <c r="A81" s="50" t="n"/>
      <c r="B81" s="50" t="n"/>
      <c r="C81" s="50" t="n"/>
      <c r="D81" s="50" t="n"/>
      <c r="E81" s="51" t="n"/>
      <c r="F81" s="51" t="n"/>
      <c r="G81" s="52">
        <f>IF(E81="","",E81-TODAY())</f>
        <v/>
      </c>
      <c r="H81" s="50" t="n"/>
      <c r="I81" s="50" t="n"/>
      <c r="J81" s="50" t="n"/>
      <c r="K81" s="50" t="n"/>
      <c r="L81" s="50" t="n"/>
      <c r="M81" s="50" t="n"/>
      <c r="N81" s="50" t="n"/>
      <c r="O81" s="50" t="n"/>
      <c r="P81" s="53">
        <f>IF(B81="","",IF(COUNTBLANK(J81:O81)=6,"",IF(COUNTIF(J81:O81,"Красный")&gt;0,"Красный",IF(COUNTIF(J81:O81,"Жёлтый")&gt;0,"Жёлтый",IF(COUNTIF(J81:O81,"Не начат")&gt;0,"Не начат","Зелёный")))))</f>
        <v/>
      </c>
      <c r="Q81" s="50" t="n"/>
      <c r="R81" s="50" t="n"/>
      <c r="S81" s="50" t="n"/>
    </row>
    <row r="82" ht="15" customHeight="1" s="32">
      <c r="A82" s="50" t="n"/>
      <c r="B82" s="50" t="n"/>
      <c r="C82" s="50" t="n"/>
      <c r="D82" s="50" t="n"/>
      <c r="E82" s="51" t="n"/>
      <c r="F82" s="51" t="n"/>
      <c r="G82" s="52">
        <f>IF(E82="","",E82-TODAY())</f>
        <v/>
      </c>
      <c r="H82" s="50" t="n"/>
      <c r="I82" s="50" t="n"/>
      <c r="J82" s="50" t="n"/>
      <c r="K82" s="50" t="n"/>
      <c r="L82" s="50" t="n"/>
      <c r="M82" s="50" t="n"/>
      <c r="N82" s="50" t="n"/>
      <c r="O82" s="50" t="n"/>
      <c r="P82" s="53">
        <f>IF(B82="","",IF(COUNTBLANK(J82:O82)=6,"",IF(COUNTIF(J82:O82,"Красный")&gt;0,"Красный",IF(COUNTIF(J82:O82,"Жёлтый")&gt;0,"Жёлтый",IF(COUNTIF(J82:O82,"Не начат")&gt;0,"Не начат","Зелёный")))))</f>
        <v/>
      </c>
      <c r="Q82" s="50" t="n"/>
      <c r="R82" s="50" t="n"/>
      <c r="S82" s="50" t="n"/>
    </row>
    <row r="83" ht="15" customHeight="1" s="32">
      <c r="A83" s="50" t="n"/>
      <c r="B83" s="50" t="n"/>
      <c r="C83" s="50" t="n"/>
      <c r="D83" s="50" t="n"/>
      <c r="E83" s="51" t="n"/>
      <c r="F83" s="51" t="n"/>
      <c r="G83" s="52">
        <f>IF(E83="","",E83-TODAY())</f>
        <v/>
      </c>
      <c r="H83" s="50" t="n"/>
      <c r="I83" s="50" t="n"/>
      <c r="J83" s="50" t="n"/>
      <c r="K83" s="50" t="n"/>
      <c r="L83" s="50" t="n"/>
      <c r="M83" s="50" t="n"/>
      <c r="N83" s="50" t="n"/>
      <c r="O83" s="50" t="n"/>
      <c r="P83" s="53">
        <f>IF(B83="","",IF(COUNTBLANK(J83:O83)=6,"",IF(COUNTIF(J83:O83,"Красный")&gt;0,"Красный",IF(COUNTIF(J83:O83,"Жёлтый")&gt;0,"Жёлтый",IF(COUNTIF(J83:O83,"Не начат")&gt;0,"Не начат","Зелёный")))))</f>
        <v/>
      </c>
      <c r="Q83" s="50" t="n"/>
      <c r="R83" s="50" t="n"/>
      <c r="S83" s="50" t="n"/>
    </row>
    <row r="84" ht="15" customHeight="1" s="32">
      <c r="A84" s="50" t="n"/>
      <c r="B84" s="50" t="n"/>
      <c r="C84" s="50" t="n"/>
      <c r="D84" s="50" t="n"/>
      <c r="E84" s="51" t="n"/>
      <c r="F84" s="51" t="n"/>
      <c r="G84" s="52">
        <f>IF(E84="","",E84-TODAY())</f>
        <v/>
      </c>
      <c r="H84" s="50" t="n"/>
      <c r="I84" s="50" t="n"/>
      <c r="J84" s="50" t="n"/>
      <c r="K84" s="50" t="n"/>
      <c r="L84" s="50" t="n"/>
      <c r="M84" s="50" t="n"/>
      <c r="N84" s="50" t="n"/>
      <c r="O84" s="50" t="n"/>
      <c r="P84" s="53">
        <f>IF(B84="","",IF(COUNTBLANK(J84:O84)=6,"",IF(COUNTIF(J84:O84,"Красный")&gt;0,"Красный",IF(COUNTIF(J84:O84,"Жёлтый")&gt;0,"Жёлтый",IF(COUNTIF(J84:O84,"Не начат")&gt;0,"Не начат","Зелёный")))))</f>
        <v/>
      </c>
      <c r="Q84" s="50" t="n"/>
      <c r="R84" s="50" t="n"/>
      <c r="S84" s="50" t="n"/>
    </row>
    <row r="85" ht="15" customHeight="1" s="32">
      <c r="A85" s="50" t="n"/>
      <c r="B85" s="50" t="n"/>
      <c r="C85" s="50" t="n"/>
      <c r="D85" s="50" t="n"/>
      <c r="E85" s="51" t="n"/>
      <c r="F85" s="51" t="n"/>
      <c r="G85" s="52">
        <f>IF(E85="","",E85-TODAY())</f>
        <v/>
      </c>
      <c r="H85" s="50" t="n"/>
      <c r="I85" s="50" t="n"/>
      <c r="J85" s="50" t="n"/>
      <c r="K85" s="50" t="n"/>
      <c r="L85" s="50" t="n"/>
      <c r="M85" s="50" t="n"/>
      <c r="N85" s="50" t="n"/>
      <c r="O85" s="50" t="n"/>
      <c r="P85" s="53">
        <f>IF(B85="","",IF(COUNTBLANK(J85:O85)=6,"",IF(COUNTIF(J85:O85,"Красный")&gt;0,"Красный",IF(COUNTIF(J85:O85,"Жёлтый")&gt;0,"Жёлтый",IF(COUNTIF(J85:O85,"Не начат")&gt;0,"Не начат","Зелёный")))))</f>
        <v/>
      </c>
      <c r="Q85" s="50" t="n"/>
      <c r="R85" s="50" t="n"/>
      <c r="S85" s="50" t="n"/>
    </row>
    <row r="86" ht="15" customHeight="1" s="32">
      <c r="A86" s="50" t="n"/>
      <c r="B86" s="50" t="n"/>
      <c r="C86" s="50" t="n"/>
      <c r="D86" s="50" t="n"/>
      <c r="E86" s="51" t="n"/>
      <c r="F86" s="51" t="n"/>
      <c r="G86" s="52">
        <f>IF(E86="","",E86-TODAY())</f>
        <v/>
      </c>
      <c r="H86" s="50" t="n"/>
      <c r="I86" s="50" t="n"/>
      <c r="J86" s="50" t="n"/>
      <c r="K86" s="50" t="n"/>
      <c r="L86" s="50" t="n"/>
      <c r="M86" s="50" t="n"/>
      <c r="N86" s="50" t="n"/>
      <c r="O86" s="50" t="n"/>
      <c r="P86" s="53">
        <f>IF(B86="","",IF(COUNTBLANK(J86:O86)=6,"",IF(COUNTIF(J86:O86,"Красный")&gt;0,"Красный",IF(COUNTIF(J86:O86,"Жёлтый")&gt;0,"Жёлтый",IF(COUNTIF(J86:O86,"Не начат")&gt;0,"Не начат","Зелёный")))))</f>
        <v/>
      </c>
      <c r="Q86" s="50" t="n"/>
      <c r="R86" s="50" t="n"/>
      <c r="S86" s="50" t="n"/>
    </row>
    <row r="87" ht="15" customHeight="1" s="32">
      <c r="A87" s="50" t="n"/>
      <c r="B87" s="50" t="n"/>
      <c r="C87" s="50" t="n"/>
      <c r="D87" s="50" t="n"/>
      <c r="E87" s="51" t="n"/>
      <c r="F87" s="51" t="n"/>
      <c r="G87" s="52">
        <f>IF(E87="","",E87-TODAY())</f>
        <v/>
      </c>
      <c r="H87" s="50" t="n"/>
      <c r="I87" s="50" t="n"/>
      <c r="J87" s="50" t="n"/>
      <c r="K87" s="50" t="n"/>
      <c r="L87" s="50" t="n"/>
      <c r="M87" s="50" t="n"/>
      <c r="N87" s="50" t="n"/>
      <c r="O87" s="50" t="n"/>
      <c r="P87" s="53">
        <f>IF(B87="","",IF(COUNTBLANK(J87:O87)=6,"",IF(COUNTIF(J87:O87,"Красный")&gt;0,"Красный",IF(COUNTIF(J87:O87,"Жёлтый")&gt;0,"Жёлтый",IF(COUNTIF(J87:O87,"Не начат")&gt;0,"Не начат","Зелёный")))))</f>
        <v/>
      </c>
      <c r="Q87" s="50" t="n"/>
      <c r="R87" s="50" t="n"/>
      <c r="S87" s="50" t="n"/>
    </row>
    <row r="88" ht="15" customHeight="1" s="32">
      <c r="A88" s="50" t="n"/>
      <c r="B88" s="50" t="n"/>
      <c r="C88" s="50" t="n"/>
      <c r="D88" s="50" t="n"/>
      <c r="E88" s="51" t="n"/>
      <c r="F88" s="51" t="n"/>
      <c r="G88" s="52">
        <f>IF(E88="","",E88-TODAY())</f>
        <v/>
      </c>
      <c r="H88" s="50" t="n"/>
      <c r="I88" s="50" t="n"/>
      <c r="J88" s="50" t="n"/>
      <c r="K88" s="50" t="n"/>
      <c r="L88" s="50" t="n"/>
      <c r="M88" s="50" t="n"/>
      <c r="N88" s="50" t="n"/>
      <c r="O88" s="50" t="n"/>
      <c r="P88" s="53">
        <f>IF(B88="","",IF(COUNTBLANK(J88:O88)=6,"",IF(COUNTIF(J88:O88,"Красный")&gt;0,"Красный",IF(COUNTIF(J88:O88,"Жёлтый")&gt;0,"Жёлтый",IF(COUNTIF(J88:O88,"Не начат")&gt;0,"Не начат","Зелёный")))))</f>
        <v/>
      </c>
      <c r="Q88" s="50" t="n"/>
      <c r="R88" s="50" t="n"/>
      <c r="S88" s="50" t="n"/>
    </row>
    <row r="89" ht="15" customHeight="1" s="32">
      <c r="A89" s="50" t="n"/>
      <c r="B89" s="50" t="n"/>
      <c r="C89" s="50" t="n"/>
      <c r="D89" s="50" t="n"/>
      <c r="E89" s="51" t="n"/>
      <c r="F89" s="51" t="n"/>
      <c r="G89" s="52">
        <f>IF(E89="","",E89-TODAY())</f>
        <v/>
      </c>
      <c r="H89" s="50" t="n"/>
      <c r="I89" s="50" t="n"/>
      <c r="J89" s="50" t="n"/>
      <c r="K89" s="50" t="n"/>
      <c r="L89" s="50" t="n"/>
      <c r="M89" s="50" t="n"/>
      <c r="N89" s="50" t="n"/>
      <c r="O89" s="50" t="n"/>
      <c r="P89" s="53">
        <f>IF(B89="","",IF(COUNTBLANK(J89:O89)=6,"",IF(COUNTIF(J89:O89,"Красный")&gt;0,"Красный",IF(COUNTIF(J89:O89,"Жёлтый")&gt;0,"Жёлтый",IF(COUNTIF(J89:O89,"Не начат")&gt;0,"Не начат","Зелёный")))))</f>
        <v/>
      </c>
      <c r="Q89" s="50" t="n"/>
      <c r="R89" s="50" t="n"/>
      <c r="S89" s="50" t="n"/>
    </row>
    <row r="90" ht="15" customHeight="1" s="32">
      <c r="A90" s="50" t="n"/>
      <c r="B90" s="50" t="n"/>
      <c r="C90" s="50" t="n"/>
      <c r="D90" s="50" t="n"/>
      <c r="E90" s="51" t="n"/>
      <c r="F90" s="51" t="n"/>
      <c r="G90" s="52">
        <f>IF(E90="","",E90-TODAY())</f>
        <v/>
      </c>
      <c r="H90" s="50" t="n"/>
      <c r="I90" s="50" t="n"/>
      <c r="J90" s="50" t="n"/>
      <c r="K90" s="50" t="n"/>
      <c r="L90" s="50" t="n"/>
      <c r="M90" s="50" t="n"/>
      <c r="N90" s="50" t="n"/>
      <c r="O90" s="50" t="n"/>
      <c r="P90" s="53">
        <f>IF(B90="","",IF(COUNTBLANK(J90:O90)=6,"",IF(COUNTIF(J90:O90,"Красный")&gt;0,"Красный",IF(COUNTIF(J90:O90,"Жёлтый")&gt;0,"Жёлтый",IF(COUNTIF(J90:O90,"Не начат")&gt;0,"Не начат","Зелёный")))))</f>
        <v/>
      </c>
      <c r="Q90" s="50" t="n"/>
      <c r="R90" s="50" t="n"/>
      <c r="S90" s="50" t="n"/>
    </row>
    <row r="91" ht="15" customHeight="1" s="32">
      <c r="A91" s="50" t="n"/>
      <c r="B91" s="50" t="n"/>
      <c r="C91" s="50" t="n"/>
      <c r="D91" s="50" t="n"/>
      <c r="E91" s="51" t="n"/>
      <c r="F91" s="51" t="n"/>
      <c r="G91" s="52">
        <f>IF(E91="","",E91-TODAY())</f>
        <v/>
      </c>
      <c r="H91" s="50" t="n"/>
      <c r="I91" s="50" t="n"/>
      <c r="J91" s="50" t="n"/>
      <c r="K91" s="50" t="n"/>
      <c r="L91" s="50" t="n"/>
      <c r="M91" s="50" t="n"/>
      <c r="N91" s="50" t="n"/>
      <c r="O91" s="50" t="n"/>
      <c r="P91" s="53">
        <f>IF(B91="","",IF(COUNTBLANK(J91:O91)=6,"",IF(COUNTIF(J91:O91,"Красный")&gt;0,"Красный",IF(COUNTIF(J91:O91,"Жёлтый")&gt;0,"Жёлтый",IF(COUNTIF(J91:O91,"Не начат")&gt;0,"Не начат","Зелёный")))))</f>
        <v/>
      </c>
      <c r="Q91" s="50" t="n"/>
      <c r="R91" s="50" t="n"/>
      <c r="S91" s="50" t="n"/>
    </row>
    <row r="92" ht="15" customHeight="1" s="32">
      <c r="A92" s="50" t="n"/>
      <c r="B92" s="50" t="n"/>
      <c r="C92" s="50" t="n"/>
      <c r="D92" s="50" t="n"/>
      <c r="E92" s="51" t="n"/>
      <c r="F92" s="51" t="n"/>
      <c r="G92" s="52">
        <f>IF(E92="","",E92-TODAY())</f>
        <v/>
      </c>
      <c r="H92" s="50" t="n"/>
      <c r="I92" s="50" t="n"/>
      <c r="J92" s="50" t="n"/>
      <c r="K92" s="50" t="n"/>
      <c r="L92" s="50" t="n"/>
      <c r="M92" s="50" t="n"/>
      <c r="N92" s="50" t="n"/>
      <c r="O92" s="50" t="n"/>
      <c r="P92" s="53">
        <f>IF(B92="","",IF(COUNTBLANK(J92:O92)=6,"",IF(COUNTIF(J92:O92,"Красный")&gt;0,"Красный",IF(COUNTIF(J92:O92,"Жёлтый")&gt;0,"Жёлтый",IF(COUNTIF(J92:O92,"Не начат")&gt;0,"Не начат","Зелёный")))))</f>
        <v/>
      </c>
      <c r="Q92" s="50" t="n"/>
      <c r="R92" s="50" t="n"/>
      <c r="S92" s="50" t="n"/>
    </row>
    <row r="93" ht="15" customHeight="1" s="32">
      <c r="A93" s="50" t="n"/>
      <c r="B93" s="50" t="n"/>
      <c r="C93" s="50" t="n"/>
      <c r="D93" s="50" t="n"/>
      <c r="E93" s="51" t="n"/>
      <c r="F93" s="51" t="n"/>
      <c r="G93" s="52">
        <f>IF(E93="","",E93-TODAY())</f>
        <v/>
      </c>
      <c r="H93" s="50" t="n"/>
      <c r="I93" s="50" t="n"/>
      <c r="J93" s="50" t="n"/>
      <c r="K93" s="50" t="n"/>
      <c r="L93" s="50" t="n"/>
      <c r="M93" s="50" t="n"/>
      <c r="N93" s="50" t="n"/>
      <c r="O93" s="50" t="n"/>
      <c r="P93" s="53">
        <f>IF(B93="","",IF(COUNTBLANK(J93:O93)=6,"",IF(COUNTIF(J93:O93,"Красный")&gt;0,"Красный",IF(COUNTIF(J93:O93,"Жёлтый")&gt;0,"Жёлтый",IF(COUNTIF(J93:O93,"Не начат")&gt;0,"Не начат","Зелёный")))))</f>
        <v/>
      </c>
      <c r="Q93" s="50" t="n"/>
      <c r="R93" s="50" t="n"/>
      <c r="S93" s="50" t="n"/>
    </row>
    <row r="94" ht="15" customHeight="1" s="32">
      <c r="A94" s="50" t="n"/>
      <c r="B94" s="50" t="n"/>
      <c r="C94" s="50" t="n"/>
      <c r="D94" s="50" t="n"/>
      <c r="E94" s="51" t="n"/>
      <c r="F94" s="51" t="n"/>
      <c r="G94" s="52">
        <f>IF(E94="","",E94-TODAY())</f>
        <v/>
      </c>
      <c r="H94" s="50" t="n"/>
      <c r="I94" s="50" t="n"/>
      <c r="J94" s="50" t="n"/>
      <c r="K94" s="50" t="n"/>
      <c r="L94" s="50" t="n"/>
      <c r="M94" s="50" t="n"/>
      <c r="N94" s="50" t="n"/>
      <c r="O94" s="50" t="n"/>
      <c r="P94" s="53">
        <f>IF(B94="","",IF(COUNTBLANK(J94:O94)=6,"",IF(COUNTIF(J94:O94,"Красный")&gt;0,"Красный",IF(COUNTIF(J94:O94,"Жёлтый")&gt;0,"Жёлтый",IF(COUNTIF(J94:O94,"Не начат")&gt;0,"Не начат","Зелёный")))))</f>
        <v/>
      </c>
      <c r="Q94" s="50" t="n"/>
      <c r="R94" s="50" t="n"/>
      <c r="S94" s="50" t="n"/>
    </row>
    <row r="95" ht="15" customHeight="1" s="32">
      <c r="A95" s="50" t="n"/>
      <c r="B95" s="50" t="n"/>
      <c r="C95" s="50" t="n"/>
      <c r="D95" s="50" t="n"/>
      <c r="E95" s="51" t="n"/>
      <c r="F95" s="51" t="n"/>
      <c r="G95" s="52">
        <f>IF(E95="","",E95-TODAY())</f>
        <v/>
      </c>
      <c r="H95" s="50" t="n"/>
      <c r="I95" s="50" t="n"/>
      <c r="J95" s="50" t="n"/>
      <c r="K95" s="50" t="n"/>
      <c r="L95" s="50" t="n"/>
      <c r="M95" s="50" t="n"/>
      <c r="N95" s="50" t="n"/>
      <c r="O95" s="50" t="n"/>
      <c r="P95" s="53">
        <f>IF(B95="","",IF(COUNTBLANK(J95:O95)=6,"",IF(COUNTIF(J95:O95,"Красный")&gt;0,"Красный",IF(COUNTIF(J95:O95,"Жёлтый")&gt;0,"Жёлтый",IF(COUNTIF(J95:O95,"Не начат")&gt;0,"Не начат","Зелёный")))))</f>
        <v/>
      </c>
      <c r="Q95" s="50" t="n"/>
      <c r="R95" s="50" t="n"/>
      <c r="S95" s="50" t="n"/>
    </row>
    <row r="96" ht="15" customHeight="1" s="32">
      <c r="A96" s="50" t="n"/>
      <c r="B96" s="50" t="n"/>
      <c r="C96" s="50" t="n"/>
      <c r="D96" s="50" t="n"/>
      <c r="E96" s="51" t="n"/>
      <c r="F96" s="51" t="n"/>
      <c r="G96" s="52">
        <f>IF(E96="","",E96-TODAY())</f>
        <v/>
      </c>
      <c r="H96" s="50" t="n"/>
      <c r="I96" s="50" t="n"/>
      <c r="J96" s="50" t="n"/>
      <c r="K96" s="50" t="n"/>
      <c r="L96" s="50" t="n"/>
      <c r="M96" s="50" t="n"/>
      <c r="N96" s="50" t="n"/>
      <c r="O96" s="50" t="n"/>
      <c r="P96" s="53">
        <f>IF(B96="","",IF(COUNTBLANK(J96:O96)=6,"",IF(COUNTIF(J96:O96,"Красный")&gt;0,"Красный",IF(COUNTIF(J96:O96,"Жёлтый")&gt;0,"Жёлтый",IF(COUNTIF(J96:O96,"Не начат")&gt;0,"Не начат","Зелёный")))))</f>
        <v/>
      </c>
      <c r="Q96" s="50" t="n"/>
      <c r="R96" s="50" t="n"/>
      <c r="S96" s="50" t="n"/>
    </row>
    <row r="97" ht="15" customHeight="1" s="32">
      <c r="A97" s="50" t="n"/>
      <c r="B97" s="50" t="n"/>
      <c r="C97" s="50" t="n"/>
      <c r="D97" s="50" t="n"/>
      <c r="E97" s="51" t="n"/>
      <c r="F97" s="51" t="n"/>
      <c r="G97" s="52">
        <f>IF(E97="","",E97-TODAY())</f>
        <v/>
      </c>
      <c r="H97" s="50" t="n"/>
      <c r="I97" s="50" t="n"/>
      <c r="J97" s="50" t="n"/>
      <c r="K97" s="50" t="n"/>
      <c r="L97" s="50" t="n"/>
      <c r="M97" s="50" t="n"/>
      <c r="N97" s="50" t="n"/>
      <c r="O97" s="50" t="n"/>
      <c r="P97" s="53">
        <f>IF(B97="","",IF(COUNTBLANK(J97:O97)=6,"",IF(COUNTIF(J97:O97,"Красный")&gt;0,"Красный",IF(COUNTIF(J97:O97,"Жёлтый")&gt;0,"Жёлтый",IF(COUNTIF(J97:O97,"Не начат")&gt;0,"Не начат","Зелёный")))))</f>
        <v/>
      </c>
      <c r="Q97" s="50" t="n"/>
      <c r="R97" s="50" t="n"/>
      <c r="S97" s="50" t="n"/>
    </row>
    <row r="98" ht="15" customHeight="1" s="32">
      <c r="A98" s="50" t="n"/>
      <c r="B98" s="50" t="n"/>
      <c r="C98" s="50" t="n"/>
      <c r="D98" s="50" t="n"/>
      <c r="E98" s="51" t="n"/>
      <c r="F98" s="51" t="n"/>
      <c r="G98" s="52">
        <f>IF(E98="","",E98-TODAY())</f>
        <v/>
      </c>
      <c r="H98" s="50" t="n"/>
      <c r="I98" s="50" t="n"/>
      <c r="J98" s="50" t="n"/>
      <c r="K98" s="50" t="n"/>
      <c r="L98" s="50" t="n"/>
      <c r="M98" s="50" t="n"/>
      <c r="N98" s="50" t="n"/>
      <c r="O98" s="50" t="n"/>
      <c r="P98" s="53">
        <f>IF(B98="","",IF(COUNTBLANK(J98:O98)=6,"",IF(COUNTIF(J98:O98,"Красный")&gt;0,"Красный",IF(COUNTIF(J98:O98,"Жёлтый")&gt;0,"Жёлтый",IF(COUNTIF(J98:O98,"Не начат")&gt;0,"Не начат","Зелёный")))))</f>
        <v/>
      </c>
      <c r="Q98" s="50" t="n"/>
      <c r="R98" s="50" t="n"/>
      <c r="S98" s="50" t="n"/>
    </row>
    <row r="99" ht="15" customHeight="1" s="32">
      <c r="A99" s="50" t="n"/>
      <c r="B99" s="50" t="n"/>
      <c r="C99" s="50" t="n"/>
      <c r="D99" s="50" t="n"/>
      <c r="E99" s="51" t="n"/>
      <c r="F99" s="51" t="n"/>
      <c r="G99" s="52">
        <f>IF(E99="","",E99-TODAY())</f>
        <v/>
      </c>
      <c r="H99" s="50" t="n"/>
      <c r="I99" s="50" t="n"/>
      <c r="J99" s="50" t="n"/>
      <c r="K99" s="50" t="n"/>
      <c r="L99" s="50" t="n"/>
      <c r="M99" s="50" t="n"/>
      <c r="N99" s="50" t="n"/>
      <c r="O99" s="50" t="n"/>
      <c r="P99" s="53">
        <f>IF(B99="","",IF(COUNTBLANK(J99:O99)=6,"",IF(COUNTIF(J99:O99,"Красный")&gt;0,"Красный",IF(COUNTIF(J99:O99,"Жёлтый")&gt;0,"Жёлтый",IF(COUNTIF(J99:O99,"Не начат")&gt;0,"Не начат","Зелёный")))))</f>
        <v/>
      </c>
      <c r="Q99" s="50" t="n"/>
      <c r="R99" s="50" t="n"/>
      <c r="S99" s="50" t="n"/>
    </row>
    <row r="100" ht="15" customHeight="1" s="32">
      <c r="A100" s="50" t="n"/>
      <c r="B100" s="50" t="n"/>
      <c r="C100" s="50" t="n"/>
      <c r="D100" s="50" t="n"/>
      <c r="E100" s="51" t="n"/>
      <c r="F100" s="51" t="n"/>
      <c r="G100" s="52">
        <f>IF(E100="","",E100-TODAY())</f>
        <v/>
      </c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3">
        <f>IF(B100="","",IF(COUNTBLANK(J100:O100)=6,"",IF(COUNTIF(J100:O100,"Красный")&gt;0,"Красный",IF(COUNTIF(J100:O100,"Жёлтый")&gt;0,"Жёлтый",IF(COUNTIF(J100:O100,"Не начат")&gt;0,"Не начат","Зелёный")))))</f>
        <v/>
      </c>
      <c r="Q100" s="50" t="n"/>
      <c r="R100" s="50" t="n"/>
      <c r="S100" s="50" t="n"/>
    </row>
    <row r="101" ht="15" customHeight="1" s="32">
      <c r="A101" s="50" t="n"/>
      <c r="B101" s="50" t="n"/>
      <c r="C101" s="50" t="n"/>
      <c r="D101" s="50" t="n"/>
      <c r="E101" s="51" t="n"/>
      <c r="F101" s="51" t="n"/>
      <c r="G101" s="52">
        <f>IF(E101="","",E101-TODAY())</f>
        <v/>
      </c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3">
        <f>IF(B101="","",IF(COUNTBLANK(J101:O101)=6,"",IF(COUNTIF(J101:O101,"Красный")&gt;0,"Красный",IF(COUNTIF(J101:O101,"Жёлтый")&gt;0,"Жёлтый",IF(COUNTIF(J101:O101,"Не начат")&gt;0,"Не начат","Зелёный")))))</f>
        <v/>
      </c>
      <c r="Q101" s="50" t="n"/>
      <c r="R101" s="50" t="n"/>
      <c r="S101" s="50" t="n"/>
    </row>
    <row r="102" ht="15" customHeight="1" s="32">
      <c r="A102" s="50" t="n"/>
      <c r="B102" s="50" t="n"/>
      <c r="C102" s="50" t="n"/>
      <c r="D102" s="50" t="n"/>
      <c r="E102" s="51" t="n"/>
      <c r="F102" s="51" t="n"/>
      <c r="G102" s="52">
        <f>IF(E102="","",E102-TODAY())</f>
        <v/>
      </c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3">
        <f>IF(B102="","",IF(COUNTBLANK(J102:O102)=6,"",IF(COUNTIF(J102:O102,"Красный")&gt;0,"Красный",IF(COUNTIF(J102:O102,"Жёлтый")&gt;0,"Жёлтый",IF(COUNTIF(J102:O102,"Не начат")&gt;0,"Не начат","Зелёный")))))</f>
        <v/>
      </c>
      <c r="Q102" s="50" t="n"/>
      <c r="R102" s="50" t="n"/>
      <c r="S102" s="50" t="n"/>
    </row>
    <row r="103" ht="15" customHeight="1" s="32">
      <c r="A103" s="50" t="n"/>
      <c r="B103" s="50" t="n"/>
      <c r="C103" s="50" t="n"/>
      <c r="D103" s="50" t="n"/>
      <c r="E103" s="51" t="n"/>
      <c r="F103" s="51" t="n"/>
      <c r="G103" s="52">
        <f>IF(E103="","",E103-TODAY())</f>
        <v/>
      </c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3">
        <f>IF(B103="","",IF(COUNTBLANK(J103:O103)=6,"",IF(COUNTIF(J103:O103,"Красный")&gt;0,"Красный",IF(COUNTIF(J103:O103,"Жёлтый")&gt;0,"Жёлтый",IF(COUNTIF(J103:O103,"Не начат")&gt;0,"Не начат","Зелёный")))))</f>
        <v/>
      </c>
      <c r="Q103" s="50" t="n"/>
      <c r="R103" s="50" t="n"/>
      <c r="S103" s="50" t="n"/>
    </row>
    <row r="104" ht="15" customHeight="1" s="32">
      <c r="A104" s="50" t="n"/>
      <c r="B104" s="50" t="n"/>
      <c r="C104" s="50" t="n"/>
      <c r="D104" s="50" t="n"/>
      <c r="E104" s="51" t="n"/>
      <c r="F104" s="51" t="n"/>
      <c r="G104" s="52">
        <f>IF(E104="","",E104-TODAY())</f>
        <v/>
      </c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3">
        <f>IF(B104="","",IF(COUNTBLANK(J104:O104)=6,"",IF(COUNTIF(J104:O104,"Красный")&gt;0,"Красный",IF(COUNTIF(J104:O104,"Жёлтый")&gt;0,"Жёлтый",IF(COUNTIF(J104:O104,"Не начат")&gt;0,"Не начат","Зелёный")))))</f>
        <v/>
      </c>
      <c r="Q104" s="50" t="n"/>
      <c r="R104" s="50" t="n"/>
      <c r="S104" s="50" t="n"/>
    </row>
    <row r="105" ht="15" customHeight="1" s="32">
      <c r="A105" s="50" t="n"/>
      <c r="B105" s="50" t="n"/>
      <c r="C105" s="50" t="n"/>
      <c r="D105" s="50" t="n"/>
      <c r="E105" s="51" t="n"/>
      <c r="F105" s="51" t="n"/>
      <c r="G105" s="52">
        <f>IF(E105="","",E105-TODAY())</f>
        <v/>
      </c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3">
        <f>IF(B105="","",IF(COUNTBLANK(J105:O105)=6,"",IF(COUNTIF(J105:O105,"Красный")&gt;0,"Красный",IF(COUNTIF(J105:O105,"Жёлтый")&gt;0,"Жёлтый",IF(COUNTIF(J105:O105,"Не начат")&gt;0,"Не начат","Зелёный")))))</f>
        <v/>
      </c>
      <c r="Q105" s="50" t="n"/>
      <c r="R105" s="50" t="n"/>
      <c r="S105" s="50" t="n"/>
    </row>
    <row r="106" ht="15" customHeight="1" s="32">
      <c r="A106" s="50" t="n"/>
      <c r="B106" s="50" t="n"/>
      <c r="C106" s="50" t="n"/>
      <c r="D106" s="50" t="n"/>
      <c r="E106" s="51" t="n"/>
      <c r="F106" s="51" t="n"/>
      <c r="G106" s="52">
        <f>IF(E106="","",E106-TODAY())</f>
        <v/>
      </c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3">
        <f>IF(B106="","",IF(COUNTBLANK(J106:O106)=6,"",IF(COUNTIF(J106:O106,"Красный")&gt;0,"Красный",IF(COUNTIF(J106:O106,"Жёлтый")&gt;0,"Жёлтый",IF(COUNTIF(J106:O106,"Не начат")&gt;0,"Не начат","Зелёный")))))</f>
        <v/>
      </c>
      <c r="Q106" s="50" t="n"/>
      <c r="R106" s="50" t="n"/>
      <c r="S106" s="50" t="n"/>
    </row>
    <row r="107" ht="15" customHeight="1" s="32">
      <c r="A107" s="50" t="n"/>
      <c r="B107" s="50" t="n"/>
      <c r="C107" s="50" t="n"/>
      <c r="D107" s="50" t="n"/>
      <c r="E107" s="51" t="n"/>
      <c r="F107" s="51" t="n"/>
      <c r="G107" s="52">
        <f>IF(E107="","",E107-TODAY())</f>
        <v/>
      </c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3">
        <f>IF(B107="","",IF(COUNTBLANK(J107:O107)=6,"",IF(COUNTIF(J107:O107,"Красный")&gt;0,"Красный",IF(COUNTIF(J107:O107,"Жёлтый")&gt;0,"Жёлтый",IF(COUNTIF(J107:O107,"Не начат")&gt;0,"Не начат","Зелёный")))))</f>
        <v/>
      </c>
      <c r="Q107" s="50" t="n"/>
      <c r="R107" s="50" t="n"/>
      <c r="S107" s="50" t="n"/>
    </row>
    <row r="108" ht="15" customHeight="1" s="32">
      <c r="A108" s="50" t="n"/>
      <c r="B108" s="50" t="n"/>
      <c r="C108" s="50" t="n"/>
      <c r="D108" s="50" t="n"/>
      <c r="E108" s="51" t="n"/>
      <c r="F108" s="51" t="n"/>
      <c r="G108" s="52">
        <f>IF(E108="","",E108-TODAY())</f>
        <v/>
      </c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3">
        <f>IF(B108="","",IF(COUNTBLANK(J108:O108)=6,"",IF(COUNTIF(J108:O108,"Красный")&gt;0,"Красный",IF(COUNTIF(J108:O108,"Жёлтый")&gt;0,"Жёлтый",IF(COUNTIF(J108:O108,"Не начат")&gt;0,"Не начат","Зелёный")))))</f>
        <v/>
      </c>
      <c r="Q108" s="50" t="n"/>
      <c r="R108" s="50" t="n"/>
      <c r="S108" s="50" t="n"/>
    </row>
    <row r="109" ht="15" customHeight="1" s="32">
      <c r="A109" s="50" t="n"/>
      <c r="B109" s="50" t="n"/>
      <c r="C109" s="50" t="n"/>
      <c r="D109" s="50" t="n"/>
      <c r="E109" s="51" t="n"/>
      <c r="F109" s="51" t="n"/>
      <c r="G109" s="52">
        <f>IF(E109="","",E109-TODAY())</f>
        <v/>
      </c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3">
        <f>IF(B109="","",IF(COUNTBLANK(J109:O109)=6,"",IF(COUNTIF(J109:O109,"Красный")&gt;0,"Красный",IF(COUNTIF(J109:O109,"Жёлтый")&gt;0,"Жёлтый",IF(COUNTIF(J109:O109,"Не начат")&gt;0,"Не начат","Зелёный")))))</f>
        <v/>
      </c>
      <c r="Q109" s="50" t="n"/>
      <c r="R109" s="50" t="n"/>
      <c r="S109" s="50" t="n"/>
    </row>
    <row r="110" ht="15" customHeight="1" s="32">
      <c r="A110" s="50" t="n"/>
      <c r="B110" s="50" t="n"/>
      <c r="C110" s="50" t="n"/>
      <c r="D110" s="50" t="n"/>
      <c r="E110" s="51" t="n"/>
      <c r="F110" s="51" t="n"/>
      <c r="G110" s="52">
        <f>IF(E110="","",E110-TODAY())</f>
        <v/>
      </c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3">
        <f>IF(B110="","",IF(COUNTBLANK(J110:O110)=6,"",IF(COUNTIF(J110:O110,"Красный")&gt;0,"Красный",IF(COUNTIF(J110:O110,"Жёлтый")&gt;0,"Жёлтый",IF(COUNTIF(J110:O110,"Не начат")&gt;0,"Не начат","Зелёный")))))</f>
        <v/>
      </c>
      <c r="Q110" s="50" t="n"/>
      <c r="R110" s="50" t="n"/>
      <c r="S110" s="50" t="n"/>
    </row>
    <row r="111" ht="15" customHeight="1" s="32">
      <c r="A111" s="50" t="n"/>
      <c r="B111" s="50" t="n"/>
      <c r="C111" s="50" t="n"/>
      <c r="D111" s="50" t="n"/>
      <c r="E111" s="51" t="n"/>
      <c r="F111" s="51" t="n"/>
      <c r="G111" s="52">
        <f>IF(E111="","",E111-TODAY())</f>
        <v/>
      </c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3">
        <f>IF(B111="","",IF(COUNTBLANK(J111:O111)=6,"",IF(COUNTIF(J111:O111,"Красный")&gt;0,"Красный",IF(COUNTIF(J111:O111,"Жёлтый")&gt;0,"Жёлтый",IF(COUNTIF(J111:O111,"Не начат")&gt;0,"Не начат","Зелёный")))))</f>
        <v/>
      </c>
      <c r="Q111" s="50" t="n"/>
      <c r="R111" s="50" t="n"/>
      <c r="S111" s="50" t="n"/>
    </row>
    <row r="112" ht="15" customHeight="1" s="32">
      <c r="A112" s="50" t="n"/>
      <c r="B112" s="50" t="n"/>
      <c r="C112" s="50" t="n"/>
      <c r="D112" s="50" t="n"/>
      <c r="E112" s="51" t="n"/>
      <c r="F112" s="51" t="n"/>
      <c r="G112" s="52">
        <f>IF(E112="","",E112-TODAY())</f>
        <v/>
      </c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3">
        <f>IF(B112="","",IF(COUNTBLANK(J112:O112)=6,"",IF(COUNTIF(J112:O112,"Красный")&gt;0,"Красный",IF(COUNTIF(J112:O112,"Жёлтый")&gt;0,"Жёлтый",IF(COUNTIF(J112:O112,"Не начат")&gt;0,"Не начат","Зелёный")))))</f>
        <v/>
      </c>
      <c r="Q112" s="50" t="n"/>
      <c r="R112" s="50" t="n"/>
      <c r="S112" s="50" t="n"/>
    </row>
    <row r="113" ht="15" customHeight="1" s="32">
      <c r="A113" s="50" t="n"/>
      <c r="B113" s="50" t="n"/>
      <c r="C113" s="50" t="n"/>
      <c r="D113" s="50" t="n"/>
      <c r="E113" s="51" t="n"/>
      <c r="F113" s="51" t="n"/>
      <c r="G113" s="52">
        <f>IF(E113="","",E113-TODAY())</f>
        <v/>
      </c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3">
        <f>IF(B113="","",IF(COUNTBLANK(J113:O113)=6,"",IF(COUNTIF(J113:O113,"Красный")&gt;0,"Красный",IF(COUNTIF(J113:O113,"Жёлтый")&gt;0,"Жёлтый",IF(COUNTIF(J113:O113,"Не начат")&gt;0,"Не начат","Зелёный")))))</f>
        <v/>
      </c>
      <c r="Q113" s="50" t="n"/>
      <c r="R113" s="50" t="n"/>
      <c r="S113" s="50" t="n"/>
    </row>
    <row r="114" ht="15" customHeight="1" s="32">
      <c r="A114" s="50" t="n"/>
      <c r="B114" s="50" t="n"/>
      <c r="C114" s="50" t="n"/>
      <c r="D114" s="50" t="n"/>
      <c r="E114" s="51" t="n"/>
      <c r="F114" s="51" t="n"/>
      <c r="G114" s="52">
        <f>IF(E114="","",E114-TODAY())</f>
        <v/>
      </c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3">
        <f>IF(B114="","",IF(COUNTBLANK(J114:O114)=6,"",IF(COUNTIF(J114:O114,"Красный")&gt;0,"Красный",IF(COUNTIF(J114:O114,"Жёлтый")&gt;0,"Жёлтый",IF(COUNTIF(J114:O114,"Не начат")&gt;0,"Не начат","Зелёный")))))</f>
        <v/>
      </c>
      <c r="Q114" s="50" t="n"/>
      <c r="R114" s="50" t="n"/>
      <c r="S114" s="50" t="n"/>
    </row>
    <row r="115" ht="15" customHeight="1" s="32">
      <c r="A115" s="50" t="n"/>
      <c r="B115" s="50" t="n"/>
      <c r="C115" s="50" t="n"/>
      <c r="D115" s="50" t="n"/>
      <c r="E115" s="51" t="n"/>
      <c r="F115" s="51" t="n"/>
      <c r="G115" s="52">
        <f>IF(E115="","",E115-TODAY())</f>
        <v/>
      </c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3">
        <f>IF(B115="","",IF(COUNTBLANK(J115:O115)=6,"",IF(COUNTIF(J115:O115,"Красный")&gt;0,"Красный",IF(COUNTIF(J115:O115,"Жёлтый")&gt;0,"Жёлтый",IF(COUNTIF(J115:O115,"Не начат")&gt;0,"Не начат","Зелёный")))))</f>
        <v/>
      </c>
      <c r="Q115" s="50" t="n"/>
      <c r="R115" s="50" t="n"/>
      <c r="S115" s="50" t="n"/>
    </row>
    <row r="116" ht="15" customHeight="1" s="32">
      <c r="A116" s="50" t="n"/>
      <c r="B116" s="50" t="n"/>
      <c r="C116" s="50" t="n"/>
      <c r="D116" s="50" t="n"/>
      <c r="E116" s="51" t="n"/>
      <c r="F116" s="51" t="n"/>
      <c r="G116" s="52">
        <f>IF(E116="","",E116-TODAY())</f>
        <v/>
      </c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3">
        <f>IF(B116="","",IF(COUNTBLANK(J116:O116)=6,"",IF(COUNTIF(J116:O116,"Красный")&gt;0,"Красный",IF(COUNTIF(J116:O116,"Жёлтый")&gt;0,"Жёлтый",IF(COUNTIF(J116:O116,"Не начат")&gt;0,"Не начат","Зелёный")))))</f>
        <v/>
      </c>
      <c r="Q116" s="50" t="n"/>
      <c r="R116" s="50" t="n"/>
      <c r="S116" s="50" t="n"/>
    </row>
    <row r="117" ht="15" customHeight="1" s="32">
      <c r="A117" s="50" t="n"/>
      <c r="B117" s="50" t="n"/>
      <c r="C117" s="50" t="n"/>
      <c r="D117" s="50" t="n"/>
      <c r="E117" s="51" t="n"/>
      <c r="F117" s="51" t="n"/>
      <c r="G117" s="52">
        <f>IF(E117="","",E117-TODAY())</f>
        <v/>
      </c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3">
        <f>IF(B117="","",IF(COUNTBLANK(J117:O117)=6,"",IF(COUNTIF(J117:O117,"Красный")&gt;0,"Красный",IF(COUNTIF(J117:O117,"Жёлтый")&gt;0,"Жёлтый",IF(COUNTIF(J117:O117,"Не начат")&gt;0,"Не начат","Зелёный")))))</f>
        <v/>
      </c>
      <c r="Q117" s="50" t="n"/>
      <c r="R117" s="50" t="n"/>
      <c r="S117" s="50" t="n"/>
    </row>
    <row r="118" ht="15" customHeight="1" s="32">
      <c r="A118" s="50" t="n"/>
      <c r="B118" s="50" t="n"/>
      <c r="C118" s="50" t="n"/>
      <c r="D118" s="50" t="n"/>
      <c r="E118" s="51" t="n"/>
      <c r="F118" s="51" t="n"/>
      <c r="G118" s="52">
        <f>IF(E118="","",E118-TODAY())</f>
        <v/>
      </c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3">
        <f>IF(B118="","",IF(COUNTBLANK(J118:O118)=6,"",IF(COUNTIF(J118:O118,"Красный")&gt;0,"Красный",IF(COUNTIF(J118:O118,"Жёлтый")&gt;0,"Жёлтый",IF(COUNTIF(J118:O118,"Не начат")&gt;0,"Не начат","Зелёный")))))</f>
        <v/>
      </c>
      <c r="Q118" s="50" t="n"/>
      <c r="R118" s="50" t="n"/>
      <c r="S118" s="50" t="n"/>
    </row>
    <row r="119" ht="15" customHeight="1" s="32">
      <c r="A119" s="50" t="n"/>
      <c r="B119" s="50" t="n"/>
      <c r="C119" s="50" t="n"/>
      <c r="D119" s="50" t="n"/>
      <c r="E119" s="51" t="n"/>
      <c r="F119" s="51" t="n"/>
      <c r="G119" s="52">
        <f>IF(E119="","",E119-TODAY())</f>
        <v/>
      </c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3">
        <f>IF(B119="","",IF(COUNTBLANK(J119:O119)=6,"",IF(COUNTIF(J119:O119,"Красный")&gt;0,"Красный",IF(COUNTIF(J119:O119,"Жёлтый")&gt;0,"Жёлтый",IF(COUNTIF(J119:O119,"Не начат")&gt;0,"Не начат","Зелёный")))))</f>
        <v/>
      </c>
      <c r="Q119" s="50" t="n"/>
      <c r="R119" s="50" t="n"/>
      <c r="S119" s="50" t="n"/>
    </row>
    <row r="120" ht="15" customHeight="1" s="32">
      <c r="A120" s="50" t="n"/>
      <c r="B120" s="50" t="n"/>
      <c r="C120" s="50" t="n"/>
      <c r="D120" s="50" t="n"/>
      <c r="E120" s="51" t="n"/>
      <c r="F120" s="51" t="n"/>
      <c r="G120" s="52">
        <f>IF(E120="","",E120-TODAY())</f>
        <v/>
      </c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3">
        <f>IF(B120="","",IF(COUNTBLANK(J120:O120)=6,"",IF(COUNTIF(J120:O120,"Красный")&gt;0,"Красный",IF(COUNTIF(J120:O120,"Жёлтый")&gt;0,"Жёлтый",IF(COUNTIF(J120:O120,"Не начат")&gt;0,"Не начат","Зелёный")))))</f>
        <v/>
      </c>
      <c r="Q120" s="50" t="n"/>
      <c r="R120" s="50" t="n"/>
      <c r="S120" s="50" t="n"/>
    </row>
    <row r="121" ht="15" customHeight="1" s="32">
      <c r="A121" s="50" t="n"/>
      <c r="B121" s="50" t="n"/>
      <c r="C121" s="50" t="n"/>
      <c r="D121" s="50" t="n"/>
      <c r="E121" s="51" t="n"/>
      <c r="F121" s="51" t="n"/>
      <c r="G121" s="52">
        <f>IF(E121="","",E121-TODAY())</f>
        <v/>
      </c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3">
        <f>IF(B121="","",IF(COUNTBLANK(J121:O121)=6,"",IF(COUNTIF(J121:O121,"Красный")&gt;0,"Красный",IF(COUNTIF(J121:O121,"Жёлтый")&gt;0,"Жёлтый",IF(COUNTIF(J121:O121,"Не начат")&gt;0,"Не начат","Зелёный")))))</f>
        <v/>
      </c>
      <c r="Q121" s="50" t="n"/>
      <c r="R121" s="50" t="n"/>
      <c r="S121" s="50" t="n"/>
    </row>
    <row r="122" ht="15" customHeight="1" s="32">
      <c r="A122" s="50" t="n"/>
      <c r="B122" s="50" t="n"/>
      <c r="C122" s="50" t="n"/>
      <c r="D122" s="50" t="n"/>
      <c r="E122" s="51" t="n"/>
      <c r="F122" s="51" t="n"/>
      <c r="G122" s="52">
        <f>IF(E122="","",E122-TODAY())</f>
        <v/>
      </c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3">
        <f>IF(B122="","",IF(COUNTBLANK(J122:O122)=6,"",IF(COUNTIF(J122:O122,"Красный")&gt;0,"Красный",IF(COUNTIF(J122:O122,"Жёлтый")&gt;0,"Жёлтый",IF(COUNTIF(J122:O122,"Не начат")&gt;0,"Не начат","Зелёный")))))</f>
        <v/>
      </c>
      <c r="Q122" s="50" t="n"/>
      <c r="R122" s="50" t="n"/>
      <c r="S122" s="50" t="n"/>
    </row>
    <row r="123" ht="15" customHeight="1" s="32">
      <c r="A123" s="50" t="n"/>
      <c r="B123" s="50" t="n"/>
      <c r="C123" s="50" t="n"/>
      <c r="D123" s="50" t="n"/>
      <c r="E123" s="51" t="n"/>
      <c r="F123" s="51" t="n"/>
      <c r="G123" s="52">
        <f>IF(E123="","",E123-TODAY())</f>
        <v/>
      </c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3">
        <f>IF(B123="","",IF(COUNTBLANK(J123:O123)=6,"",IF(COUNTIF(J123:O123,"Красный")&gt;0,"Красный",IF(COUNTIF(J123:O123,"Жёлтый")&gt;0,"Жёлтый",IF(COUNTIF(J123:O123,"Не начат")&gt;0,"Не начат","Зелёный")))))</f>
        <v/>
      </c>
      <c r="Q123" s="50" t="n"/>
      <c r="R123" s="50" t="n"/>
      <c r="S123" s="50" t="n"/>
    </row>
    <row r="124" ht="15" customHeight="1" s="32">
      <c r="A124" s="50" t="n"/>
      <c r="B124" s="50" t="n"/>
      <c r="C124" s="50" t="n"/>
      <c r="D124" s="50" t="n"/>
      <c r="E124" s="51" t="n"/>
      <c r="F124" s="51" t="n"/>
      <c r="G124" s="52">
        <f>IF(E124="","",E124-TODAY())</f>
        <v/>
      </c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3">
        <f>IF(B124="","",IF(COUNTBLANK(J124:O124)=6,"",IF(COUNTIF(J124:O124,"Красный")&gt;0,"Красный",IF(COUNTIF(J124:O124,"Жёлтый")&gt;0,"Жёлтый",IF(COUNTIF(J124:O124,"Не начат")&gt;0,"Не начат","Зелёный")))))</f>
        <v/>
      </c>
      <c r="Q124" s="50" t="n"/>
      <c r="R124" s="50" t="n"/>
      <c r="S124" s="50" t="n"/>
    </row>
    <row r="125" ht="15" customHeight="1" s="32">
      <c r="A125" s="50" t="n"/>
      <c r="B125" s="50" t="n"/>
      <c r="C125" s="50" t="n"/>
      <c r="D125" s="50" t="n"/>
      <c r="E125" s="51" t="n"/>
      <c r="F125" s="51" t="n"/>
      <c r="G125" s="52">
        <f>IF(E125="","",E125-TODAY())</f>
        <v/>
      </c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3">
        <f>IF(B125="","",IF(COUNTBLANK(J125:O125)=6,"",IF(COUNTIF(J125:O125,"Красный")&gt;0,"Красный",IF(COUNTIF(J125:O125,"Жёлтый")&gt;0,"Жёлтый",IF(COUNTIF(J125:O125,"Не начат")&gt;0,"Не начат","Зелёный")))))</f>
        <v/>
      </c>
      <c r="Q125" s="50" t="n"/>
      <c r="R125" s="50" t="n"/>
      <c r="S125" s="50" t="n"/>
    </row>
    <row r="126" ht="15" customHeight="1" s="32">
      <c r="A126" s="50" t="n"/>
      <c r="B126" s="50" t="n"/>
      <c r="C126" s="50" t="n"/>
      <c r="D126" s="50" t="n"/>
      <c r="E126" s="51" t="n"/>
      <c r="F126" s="51" t="n"/>
      <c r="G126" s="52">
        <f>IF(E126="","",E126-TODAY())</f>
        <v/>
      </c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3">
        <f>IF(B126="","",IF(COUNTBLANK(J126:O126)=6,"",IF(COUNTIF(J126:O126,"Красный")&gt;0,"Красный",IF(COUNTIF(J126:O126,"Жёлтый")&gt;0,"Жёлтый",IF(COUNTIF(J126:O126,"Не начат")&gt;0,"Не начат","Зелёный")))))</f>
        <v/>
      </c>
      <c r="Q126" s="50" t="n"/>
      <c r="R126" s="50" t="n"/>
      <c r="S126" s="50" t="n"/>
    </row>
    <row r="127" ht="15" customHeight="1" s="32">
      <c r="A127" s="50" t="n"/>
      <c r="B127" s="50" t="n"/>
      <c r="C127" s="50" t="n"/>
      <c r="D127" s="50" t="n"/>
      <c r="E127" s="51" t="n"/>
      <c r="F127" s="51" t="n"/>
      <c r="G127" s="52">
        <f>IF(E127="","",E127-TODAY())</f>
        <v/>
      </c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3">
        <f>IF(B127="","",IF(COUNTBLANK(J127:O127)=6,"",IF(COUNTIF(J127:O127,"Красный")&gt;0,"Красный",IF(COUNTIF(J127:O127,"Жёлтый")&gt;0,"Жёлтый",IF(COUNTIF(J127:O127,"Не начат")&gt;0,"Не начат","Зелёный")))))</f>
        <v/>
      </c>
      <c r="Q127" s="50" t="n"/>
      <c r="R127" s="50" t="n"/>
      <c r="S127" s="50" t="n"/>
    </row>
    <row r="128" ht="15" customHeight="1" s="32">
      <c r="A128" s="50" t="n"/>
      <c r="B128" s="50" t="n"/>
      <c r="C128" s="50" t="n"/>
      <c r="D128" s="50" t="n"/>
      <c r="E128" s="51" t="n"/>
      <c r="F128" s="51" t="n"/>
      <c r="G128" s="52">
        <f>IF(E128="","",E128-TODAY())</f>
        <v/>
      </c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3">
        <f>IF(B128="","",IF(COUNTBLANK(J128:O128)=6,"",IF(COUNTIF(J128:O128,"Красный")&gt;0,"Красный",IF(COUNTIF(J128:O128,"Жёлтый")&gt;0,"Жёлтый",IF(COUNTIF(J128:O128,"Не начат")&gt;0,"Не начат","Зелёный")))))</f>
        <v/>
      </c>
      <c r="Q128" s="50" t="n"/>
      <c r="R128" s="50" t="n"/>
      <c r="S128" s="50" t="n"/>
    </row>
    <row r="129" ht="15" customHeight="1" s="32">
      <c r="A129" s="50" t="n"/>
      <c r="B129" s="50" t="n"/>
      <c r="C129" s="50" t="n"/>
      <c r="D129" s="50" t="n"/>
      <c r="E129" s="51" t="n"/>
      <c r="F129" s="51" t="n"/>
      <c r="G129" s="52">
        <f>IF(E129="","",E129-TODAY())</f>
        <v/>
      </c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3">
        <f>IF(B129="","",IF(COUNTBLANK(J129:O129)=6,"",IF(COUNTIF(J129:O129,"Красный")&gt;0,"Красный",IF(COUNTIF(J129:O129,"Жёлтый")&gt;0,"Жёлтый",IF(COUNTIF(J129:O129,"Не начат")&gt;0,"Не начат","Зелёный")))))</f>
        <v/>
      </c>
      <c r="Q129" s="50" t="n"/>
      <c r="R129" s="50" t="n"/>
      <c r="S129" s="50" t="n"/>
    </row>
    <row r="130" ht="15" customHeight="1" s="32">
      <c r="A130" s="50" t="n"/>
      <c r="B130" s="50" t="n"/>
      <c r="C130" s="50" t="n"/>
      <c r="D130" s="50" t="n"/>
      <c r="E130" s="51" t="n"/>
      <c r="F130" s="51" t="n"/>
      <c r="G130" s="52">
        <f>IF(E130="","",E130-TODAY())</f>
        <v/>
      </c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3">
        <f>IF(B130="","",IF(COUNTBLANK(J130:O130)=6,"",IF(COUNTIF(J130:O130,"Красный")&gt;0,"Красный",IF(COUNTIF(J130:O130,"Жёлтый")&gt;0,"Жёлтый",IF(COUNTIF(J130:O130,"Не начат")&gt;0,"Не начат","Зелёный")))))</f>
        <v/>
      </c>
      <c r="Q130" s="50" t="n"/>
      <c r="R130" s="50" t="n"/>
      <c r="S130" s="50" t="n"/>
    </row>
    <row r="131" ht="15" customHeight="1" s="32">
      <c r="A131" s="50" t="n"/>
      <c r="B131" s="50" t="n"/>
      <c r="C131" s="50" t="n"/>
      <c r="D131" s="50" t="n"/>
      <c r="E131" s="51" t="n"/>
      <c r="F131" s="51" t="n"/>
      <c r="G131" s="52">
        <f>IF(E131="","",E131-TODAY())</f>
        <v/>
      </c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3">
        <f>IF(B131="","",IF(COUNTBLANK(J131:O131)=6,"",IF(COUNTIF(J131:O131,"Красный")&gt;0,"Красный",IF(COUNTIF(J131:O131,"Жёлтый")&gt;0,"Жёлтый",IF(COUNTIF(J131:O131,"Не начат")&gt;0,"Не начат","Зелёный")))))</f>
        <v/>
      </c>
      <c r="Q131" s="50" t="n"/>
      <c r="R131" s="50" t="n"/>
      <c r="S131" s="50" t="n"/>
    </row>
    <row r="132" ht="15" customHeight="1" s="32">
      <c r="A132" s="50" t="n"/>
      <c r="B132" s="50" t="n"/>
      <c r="C132" s="50" t="n"/>
      <c r="D132" s="50" t="n"/>
      <c r="E132" s="51" t="n"/>
      <c r="F132" s="51" t="n"/>
      <c r="G132" s="52">
        <f>IF(E132="","",E132-TODAY())</f>
        <v/>
      </c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3">
        <f>IF(B132="","",IF(COUNTBLANK(J132:O132)=6,"",IF(COUNTIF(J132:O132,"Красный")&gt;0,"Красный",IF(COUNTIF(J132:O132,"Жёлтый")&gt;0,"Жёлтый",IF(COUNTIF(J132:O132,"Не начат")&gt;0,"Не начат","Зелёный")))))</f>
        <v/>
      </c>
      <c r="Q132" s="50" t="n"/>
      <c r="R132" s="50" t="n"/>
      <c r="S132" s="50" t="n"/>
    </row>
    <row r="133" ht="15" customHeight="1" s="32">
      <c r="A133" s="50" t="n"/>
      <c r="B133" s="50" t="n"/>
      <c r="C133" s="50" t="n"/>
      <c r="D133" s="50" t="n"/>
      <c r="E133" s="51" t="n"/>
      <c r="F133" s="51" t="n"/>
      <c r="G133" s="52">
        <f>IF(E133="","",E133-TODAY())</f>
        <v/>
      </c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3">
        <f>IF(B133="","",IF(COUNTBLANK(J133:O133)=6,"",IF(COUNTIF(J133:O133,"Красный")&gt;0,"Красный",IF(COUNTIF(J133:O133,"Жёлтый")&gt;0,"Жёлтый",IF(COUNTIF(J133:O133,"Не начат")&gt;0,"Не начат","Зелёный")))))</f>
        <v/>
      </c>
      <c r="Q133" s="50" t="n"/>
      <c r="R133" s="50" t="n"/>
      <c r="S133" s="50" t="n"/>
    </row>
    <row r="134" ht="15" customHeight="1" s="32">
      <c r="A134" s="50" t="n"/>
      <c r="B134" s="50" t="n"/>
      <c r="C134" s="50" t="n"/>
      <c r="D134" s="50" t="n"/>
      <c r="E134" s="51" t="n"/>
      <c r="F134" s="51" t="n"/>
      <c r="G134" s="52">
        <f>IF(E134="","",E134-TODAY())</f>
        <v/>
      </c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3">
        <f>IF(B134="","",IF(COUNTBLANK(J134:O134)=6,"",IF(COUNTIF(J134:O134,"Красный")&gt;0,"Красный",IF(COUNTIF(J134:O134,"Жёлтый")&gt;0,"Жёлтый",IF(COUNTIF(J134:O134,"Не начат")&gt;0,"Не начат","Зелёный")))))</f>
        <v/>
      </c>
      <c r="Q134" s="50" t="n"/>
      <c r="R134" s="50" t="n"/>
      <c r="S134" s="50" t="n"/>
    </row>
    <row r="135" ht="15" customHeight="1" s="32">
      <c r="A135" s="50" t="n"/>
      <c r="B135" s="50" t="n"/>
      <c r="C135" s="50" t="n"/>
      <c r="D135" s="50" t="n"/>
      <c r="E135" s="51" t="n"/>
      <c r="F135" s="51" t="n"/>
      <c r="G135" s="52">
        <f>IF(E135="","",E135-TODAY())</f>
        <v/>
      </c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3">
        <f>IF(B135="","",IF(COUNTBLANK(J135:O135)=6,"",IF(COUNTIF(J135:O135,"Красный")&gt;0,"Красный",IF(COUNTIF(J135:O135,"Жёлтый")&gt;0,"Жёлтый",IF(COUNTIF(J135:O135,"Не начат")&gt;0,"Не начат","Зелёный")))))</f>
        <v/>
      </c>
      <c r="Q135" s="50" t="n"/>
      <c r="R135" s="50" t="n"/>
      <c r="S135" s="50" t="n"/>
    </row>
    <row r="136" ht="15" customHeight="1" s="32">
      <c r="A136" s="50" t="n"/>
      <c r="B136" s="50" t="n"/>
      <c r="C136" s="50" t="n"/>
      <c r="D136" s="50" t="n"/>
      <c r="E136" s="51" t="n"/>
      <c r="F136" s="51" t="n"/>
      <c r="G136" s="52">
        <f>IF(E136="","",E136-TODAY())</f>
        <v/>
      </c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3">
        <f>IF(B136="","",IF(COUNTBLANK(J136:O136)=6,"",IF(COUNTIF(J136:O136,"Красный")&gt;0,"Красный",IF(COUNTIF(J136:O136,"Жёлтый")&gt;0,"Жёлтый",IF(COUNTIF(J136:O136,"Не начат")&gt;0,"Не начат","Зелёный")))))</f>
        <v/>
      </c>
      <c r="Q136" s="50" t="n"/>
      <c r="R136" s="50" t="n"/>
      <c r="S136" s="50" t="n"/>
    </row>
    <row r="137" ht="15" customHeight="1" s="32">
      <c r="A137" s="50" t="n"/>
      <c r="B137" s="50" t="n"/>
      <c r="C137" s="50" t="n"/>
      <c r="D137" s="50" t="n"/>
      <c r="E137" s="51" t="n"/>
      <c r="F137" s="51" t="n"/>
      <c r="G137" s="52">
        <f>IF(E137="","",E137-TODAY())</f>
        <v/>
      </c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3">
        <f>IF(B137="","",IF(COUNTBLANK(J137:O137)=6,"",IF(COUNTIF(J137:O137,"Красный")&gt;0,"Красный",IF(COUNTIF(J137:O137,"Жёлтый")&gt;0,"Жёлтый",IF(COUNTIF(J137:O137,"Не начат")&gt;0,"Не начат","Зелёный")))))</f>
        <v/>
      </c>
      <c r="Q137" s="50" t="n"/>
      <c r="R137" s="50" t="n"/>
      <c r="S137" s="50" t="n"/>
    </row>
    <row r="138" ht="15" customHeight="1" s="32">
      <c r="A138" s="50" t="n"/>
      <c r="B138" s="50" t="n"/>
      <c r="C138" s="50" t="n"/>
      <c r="D138" s="50" t="n"/>
      <c r="E138" s="51" t="n"/>
      <c r="F138" s="51" t="n"/>
      <c r="G138" s="52">
        <f>IF(E138="","",E138-TODAY())</f>
        <v/>
      </c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3">
        <f>IF(B138="","",IF(COUNTBLANK(J138:O138)=6,"",IF(COUNTIF(J138:O138,"Красный")&gt;0,"Красный",IF(COUNTIF(J138:O138,"Жёлтый")&gt;0,"Жёлтый",IF(COUNTIF(J138:O138,"Не начат")&gt;0,"Не начат","Зелёный")))))</f>
        <v/>
      </c>
      <c r="Q138" s="50" t="n"/>
      <c r="R138" s="50" t="n"/>
      <c r="S138" s="50" t="n"/>
    </row>
    <row r="139" ht="15" customHeight="1" s="32">
      <c r="A139" s="50" t="n"/>
      <c r="B139" s="50" t="n"/>
      <c r="C139" s="50" t="n"/>
      <c r="D139" s="50" t="n"/>
      <c r="E139" s="51" t="n"/>
      <c r="F139" s="51" t="n"/>
      <c r="G139" s="52">
        <f>IF(E139="","",E139-TODAY())</f>
        <v/>
      </c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3">
        <f>IF(B139="","",IF(COUNTBLANK(J139:O139)=6,"",IF(COUNTIF(J139:O139,"Красный")&gt;0,"Красный",IF(COUNTIF(J139:O139,"Жёлтый")&gt;0,"Жёлтый",IF(COUNTIF(J139:O139,"Не начат")&gt;0,"Не начат","Зелёный")))))</f>
        <v/>
      </c>
      <c r="Q139" s="50" t="n"/>
      <c r="R139" s="50" t="n"/>
      <c r="S139" s="50" t="n"/>
    </row>
    <row r="140" ht="15" customHeight="1" s="32">
      <c r="A140" s="50" t="n"/>
      <c r="B140" s="50" t="n"/>
      <c r="C140" s="50" t="n"/>
      <c r="D140" s="50" t="n"/>
      <c r="E140" s="51" t="n"/>
      <c r="F140" s="51" t="n"/>
      <c r="G140" s="52">
        <f>IF(E140="","",E140-TODAY())</f>
        <v/>
      </c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3">
        <f>IF(B140="","",IF(COUNTBLANK(J140:O140)=6,"",IF(COUNTIF(J140:O140,"Красный")&gt;0,"Красный",IF(COUNTIF(J140:O140,"Жёлтый")&gt;0,"Жёлтый",IF(COUNTIF(J140:O140,"Не начат")&gt;0,"Не начат","Зелёный")))))</f>
        <v/>
      </c>
      <c r="Q140" s="50" t="n"/>
      <c r="R140" s="50" t="n"/>
      <c r="S140" s="50" t="n"/>
    </row>
    <row r="141" ht="15" customHeight="1" s="32">
      <c r="A141" s="50" t="n"/>
      <c r="B141" s="50" t="n"/>
      <c r="C141" s="50" t="n"/>
      <c r="D141" s="50" t="n"/>
      <c r="E141" s="51" t="n"/>
      <c r="F141" s="51" t="n"/>
      <c r="G141" s="52">
        <f>IF(E141="","",E141-TODAY())</f>
        <v/>
      </c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3">
        <f>IF(B141="","",IF(COUNTBLANK(J141:O141)=6,"",IF(COUNTIF(J141:O141,"Красный")&gt;0,"Красный",IF(COUNTIF(J141:O141,"Жёлтый")&gt;0,"Жёлтый",IF(COUNTIF(J141:O141,"Не начат")&gt;0,"Не начат","Зелёный")))))</f>
        <v/>
      </c>
      <c r="Q141" s="50" t="n"/>
      <c r="R141" s="50" t="n"/>
      <c r="S141" s="50" t="n"/>
    </row>
    <row r="142" ht="15" customHeight="1" s="32">
      <c r="A142" s="50" t="n"/>
      <c r="B142" s="50" t="n"/>
      <c r="C142" s="50" t="n"/>
      <c r="D142" s="50" t="n"/>
      <c r="E142" s="51" t="n"/>
      <c r="F142" s="51" t="n"/>
      <c r="G142" s="52">
        <f>IF(E142="","",E142-TODAY())</f>
        <v/>
      </c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3">
        <f>IF(B142="","",IF(COUNTBLANK(J142:O142)=6,"",IF(COUNTIF(J142:O142,"Красный")&gt;0,"Красный",IF(COUNTIF(J142:O142,"Жёлтый")&gt;0,"Жёлтый",IF(COUNTIF(J142:O142,"Не начат")&gt;0,"Не начат","Зелёный")))))</f>
        <v/>
      </c>
      <c r="Q142" s="50" t="n"/>
      <c r="R142" s="50" t="n"/>
      <c r="S142" s="50" t="n"/>
    </row>
    <row r="143" ht="15" customHeight="1" s="32">
      <c r="A143" s="50" t="n"/>
      <c r="B143" s="50" t="n"/>
      <c r="C143" s="50" t="n"/>
      <c r="D143" s="50" t="n"/>
      <c r="E143" s="51" t="n"/>
      <c r="F143" s="51" t="n"/>
      <c r="G143" s="52">
        <f>IF(E143="","",E143-TODAY())</f>
        <v/>
      </c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3">
        <f>IF(B143="","",IF(COUNTBLANK(J143:O143)=6,"",IF(COUNTIF(J143:O143,"Красный")&gt;0,"Красный",IF(COUNTIF(J143:O143,"Жёлтый")&gt;0,"Жёлтый",IF(COUNTIF(J143:O143,"Не начат")&gt;0,"Не начат","Зелёный")))))</f>
        <v/>
      </c>
      <c r="Q143" s="50" t="n"/>
      <c r="R143" s="50" t="n"/>
      <c r="S143" s="50" t="n"/>
    </row>
    <row r="144" ht="15" customHeight="1" s="32">
      <c r="A144" s="50" t="n"/>
      <c r="B144" s="50" t="n"/>
      <c r="C144" s="50" t="n"/>
      <c r="D144" s="50" t="n"/>
      <c r="E144" s="51" t="n"/>
      <c r="F144" s="51" t="n"/>
      <c r="G144" s="52">
        <f>IF(E144="","",E144-TODAY())</f>
        <v/>
      </c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3">
        <f>IF(B144="","",IF(COUNTBLANK(J144:O144)=6,"",IF(COUNTIF(J144:O144,"Красный")&gt;0,"Красный",IF(COUNTIF(J144:O144,"Жёлтый")&gt;0,"Жёлтый",IF(COUNTIF(J144:O144,"Не начат")&gt;0,"Не начат","Зелёный")))))</f>
        <v/>
      </c>
      <c r="Q144" s="50" t="n"/>
      <c r="R144" s="50" t="n"/>
      <c r="S144" s="50" t="n"/>
    </row>
    <row r="145" ht="15" customHeight="1" s="32">
      <c r="A145" s="50" t="n"/>
      <c r="B145" s="50" t="n"/>
      <c r="C145" s="50" t="n"/>
      <c r="D145" s="50" t="n"/>
      <c r="E145" s="51" t="n"/>
      <c r="F145" s="51" t="n"/>
      <c r="G145" s="52">
        <f>IF(E145="","",E145-TODAY())</f>
        <v/>
      </c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3">
        <f>IF(B145="","",IF(COUNTBLANK(J145:O145)=6,"",IF(COUNTIF(J145:O145,"Красный")&gt;0,"Красный",IF(COUNTIF(J145:O145,"Жёлтый")&gt;0,"Жёлтый",IF(COUNTIF(J145:O145,"Не начат")&gt;0,"Не начат","Зелёный")))))</f>
        <v/>
      </c>
      <c r="Q145" s="50" t="n"/>
      <c r="R145" s="50" t="n"/>
      <c r="S145" s="50" t="n"/>
    </row>
    <row r="146" ht="15" customHeight="1" s="32">
      <c r="A146" s="50" t="n"/>
      <c r="B146" s="50" t="n"/>
      <c r="C146" s="50" t="n"/>
      <c r="D146" s="50" t="n"/>
      <c r="E146" s="51" t="n"/>
      <c r="F146" s="51" t="n"/>
      <c r="G146" s="52">
        <f>IF(E146="","",E146-TODAY())</f>
        <v/>
      </c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3">
        <f>IF(B146="","",IF(COUNTBLANK(J146:O146)=6,"",IF(COUNTIF(J146:O146,"Красный")&gt;0,"Красный",IF(COUNTIF(J146:O146,"Жёлтый")&gt;0,"Жёлтый",IF(COUNTIF(J146:O146,"Не начат")&gt;0,"Не начат","Зелёный")))))</f>
        <v/>
      </c>
      <c r="Q146" s="50" t="n"/>
      <c r="R146" s="50" t="n"/>
      <c r="S146" s="50" t="n"/>
    </row>
    <row r="147" ht="15" customHeight="1" s="32">
      <c r="A147" s="50" t="n"/>
      <c r="B147" s="50" t="n"/>
      <c r="C147" s="50" t="n"/>
      <c r="D147" s="50" t="n"/>
      <c r="E147" s="51" t="n"/>
      <c r="F147" s="51" t="n"/>
      <c r="G147" s="52">
        <f>IF(E147="","",E147-TODAY())</f>
        <v/>
      </c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3">
        <f>IF(B147="","",IF(COUNTBLANK(J147:O147)=6,"",IF(COUNTIF(J147:O147,"Красный")&gt;0,"Красный",IF(COUNTIF(J147:O147,"Жёлтый")&gt;0,"Жёлтый",IF(COUNTIF(J147:O147,"Не начат")&gt;0,"Не начат","Зелёный")))))</f>
        <v/>
      </c>
      <c r="Q147" s="50" t="n"/>
      <c r="R147" s="50" t="n"/>
      <c r="S147" s="50" t="n"/>
    </row>
    <row r="148" ht="15" customHeight="1" s="32">
      <c r="A148" s="50" t="n"/>
      <c r="B148" s="50" t="n"/>
      <c r="C148" s="50" t="n"/>
      <c r="D148" s="50" t="n"/>
      <c r="E148" s="51" t="n"/>
      <c r="F148" s="51" t="n"/>
      <c r="G148" s="52">
        <f>IF(E148="","",E148-TODAY())</f>
        <v/>
      </c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3">
        <f>IF(B148="","",IF(COUNTBLANK(J148:O148)=6,"",IF(COUNTIF(J148:O148,"Красный")&gt;0,"Красный",IF(COUNTIF(J148:O148,"Жёлтый")&gt;0,"Жёлтый",IF(COUNTIF(J148:O148,"Не начат")&gt;0,"Не начат","Зелёный")))))</f>
        <v/>
      </c>
      <c r="Q148" s="50" t="n"/>
      <c r="R148" s="50" t="n"/>
      <c r="S148" s="50" t="n"/>
    </row>
    <row r="149" ht="15" customHeight="1" s="32">
      <c r="A149" s="50" t="n"/>
      <c r="B149" s="50" t="n"/>
      <c r="C149" s="50" t="n"/>
      <c r="D149" s="50" t="n"/>
      <c r="E149" s="51" t="n"/>
      <c r="F149" s="51" t="n"/>
      <c r="G149" s="52">
        <f>IF(E149="","",E149-TODAY())</f>
        <v/>
      </c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3">
        <f>IF(B149="","",IF(COUNTBLANK(J149:O149)=6,"",IF(COUNTIF(J149:O149,"Красный")&gt;0,"Красный",IF(COUNTIF(J149:O149,"Жёлтый")&gt;0,"Жёлтый",IF(COUNTIF(J149:O149,"Не начат")&gt;0,"Не начат","Зелёный")))))</f>
        <v/>
      </c>
      <c r="Q149" s="50" t="n"/>
      <c r="R149" s="50" t="n"/>
      <c r="S149" s="50" t="n"/>
    </row>
    <row r="150" ht="15" customHeight="1" s="32">
      <c r="A150" s="50" t="n"/>
      <c r="B150" s="50" t="n"/>
      <c r="C150" s="50" t="n"/>
      <c r="D150" s="50" t="n"/>
      <c r="E150" s="51" t="n"/>
      <c r="F150" s="51" t="n"/>
      <c r="G150" s="52">
        <f>IF(E150="","",E150-TODAY())</f>
        <v/>
      </c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3">
        <f>IF(B150="","",IF(COUNTBLANK(J150:O150)=6,"",IF(COUNTIF(J150:O150,"Красный")&gt;0,"Красный",IF(COUNTIF(J150:O150,"Жёлтый")&gt;0,"Жёлтый",IF(COUNTIF(J150:O150,"Не начат")&gt;0,"Не начат","Зелёный")))))</f>
        <v/>
      </c>
      <c r="Q150" s="50" t="n"/>
      <c r="R150" s="50" t="n"/>
      <c r="S150" s="50" t="n"/>
    </row>
    <row r="151" ht="15" customHeight="1" s="32">
      <c r="A151" s="50" t="n"/>
      <c r="B151" s="50" t="n"/>
      <c r="C151" s="50" t="n"/>
      <c r="D151" s="50" t="n"/>
      <c r="E151" s="51" t="n"/>
      <c r="F151" s="51" t="n"/>
      <c r="G151" s="52">
        <f>IF(E151="","",E151-TODAY())</f>
        <v/>
      </c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3">
        <f>IF(B151="","",IF(COUNTBLANK(J151:O151)=6,"",IF(COUNTIF(J151:O151,"Красный")&gt;0,"Красный",IF(COUNTIF(J151:O151,"Жёлтый")&gt;0,"Жёлтый",IF(COUNTIF(J151:O151,"Не начат")&gt;0,"Не начат","Зелёный")))))</f>
        <v/>
      </c>
      <c r="Q151" s="50" t="n"/>
      <c r="R151" s="50" t="n"/>
      <c r="S151" s="50" t="n"/>
    </row>
    <row r="152" ht="15" customHeight="1" s="32">
      <c r="A152" s="50" t="n"/>
      <c r="B152" s="50" t="n"/>
      <c r="C152" s="50" t="n"/>
      <c r="D152" s="50" t="n"/>
      <c r="E152" s="51" t="n"/>
      <c r="F152" s="51" t="n"/>
      <c r="G152" s="52">
        <f>IF(E152="","",E152-TODAY())</f>
        <v/>
      </c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3">
        <f>IF(B152="","",IF(COUNTBLANK(J152:O152)=6,"",IF(COUNTIF(J152:O152,"Красный")&gt;0,"Красный",IF(COUNTIF(J152:O152,"Жёлтый")&gt;0,"Жёлтый",IF(COUNTIF(J152:O152,"Не начат")&gt;0,"Не начат","Зелёный")))))</f>
        <v/>
      </c>
      <c r="Q152" s="50" t="n"/>
      <c r="R152" s="50" t="n"/>
      <c r="S152" s="50" t="n"/>
    </row>
    <row r="153" ht="15" customHeight="1" s="32">
      <c r="A153" s="50" t="n"/>
      <c r="B153" s="50" t="n"/>
      <c r="C153" s="50" t="n"/>
      <c r="D153" s="50" t="n"/>
      <c r="E153" s="51" t="n"/>
      <c r="F153" s="51" t="n"/>
      <c r="G153" s="52">
        <f>IF(E153="","",E153-TODAY())</f>
        <v/>
      </c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3">
        <f>IF(B153="","",IF(COUNTBLANK(J153:O153)=6,"",IF(COUNTIF(J153:O153,"Красный")&gt;0,"Красный",IF(COUNTIF(J153:O153,"Жёлтый")&gt;0,"Жёлтый",IF(COUNTIF(J153:O153,"Не начат")&gt;0,"Не начат","Зелёный")))))</f>
        <v/>
      </c>
      <c r="Q153" s="50" t="n"/>
      <c r="R153" s="50" t="n"/>
      <c r="S153" s="50" t="n"/>
    </row>
    <row r="154" ht="15" customHeight="1" s="32">
      <c r="A154" s="50" t="n"/>
      <c r="B154" s="50" t="n"/>
      <c r="C154" s="50" t="n"/>
      <c r="D154" s="50" t="n"/>
      <c r="E154" s="51" t="n"/>
      <c r="F154" s="51" t="n"/>
      <c r="G154" s="52">
        <f>IF(E154="","",E154-TODAY())</f>
        <v/>
      </c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3">
        <f>IF(B154="","",IF(COUNTBLANK(J154:O154)=6,"",IF(COUNTIF(J154:O154,"Красный")&gt;0,"Красный",IF(COUNTIF(J154:O154,"Жёлтый")&gt;0,"Жёлтый",IF(COUNTIF(J154:O154,"Не начат")&gt;0,"Не начат","Зелёный")))))</f>
        <v/>
      </c>
      <c r="Q154" s="50" t="n"/>
      <c r="R154" s="50" t="n"/>
      <c r="S154" s="50" t="n"/>
    </row>
    <row r="155" ht="15" customHeight="1" s="32">
      <c r="A155" s="50" t="n"/>
      <c r="B155" s="50" t="n"/>
      <c r="C155" s="50" t="n"/>
      <c r="D155" s="50" t="n"/>
      <c r="E155" s="51" t="n"/>
      <c r="F155" s="51" t="n"/>
      <c r="G155" s="52">
        <f>IF(E155="","",E155-TODAY())</f>
        <v/>
      </c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3">
        <f>IF(B155="","",IF(COUNTBLANK(J155:O155)=6,"",IF(COUNTIF(J155:O155,"Красный")&gt;0,"Красный",IF(COUNTIF(J155:O155,"Жёлтый")&gt;0,"Жёлтый",IF(COUNTIF(J155:O155,"Не начат")&gt;0,"Не начат","Зелёный")))))</f>
        <v/>
      </c>
      <c r="Q155" s="50" t="n"/>
      <c r="R155" s="50" t="n"/>
      <c r="S155" s="50" t="n"/>
    </row>
    <row r="156" ht="15" customHeight="1" s="32">
      <c r="A156" s="50" t="n"/>
      <c r="B156" s="50" t="n"/>
      <c r="C156" s="50" t="n"/>
      <c r="D156" s="50" t="n"/>
      <c r="E156" s="51" t="n"/>
      <c r="F156" s="51" t="n"/>
      <c r="G156" s="52">
        <f>IF(E156="","",E156-TODAY())</f>
        <v/>
      </c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3">
        <f>IF(B156="","",IF(COUNTBLANK(J156:O156)=6,"",IF(COUNTIF(J156:O156,"Красный")&gt;0,"Красный",IF(COUNTIF(J156:O156,"Жёлтый")&gt;0,"Жёлтый",IF(COUNTIF(J156:O156,"Не начат")&gt;0,"Не начат","Зелёный")))))</f>
        <v/>
      </c>
      <c r="Q156" s="50" t="n"/>
      <c r="R156" s="50" t="n"/>
      <c r="S156" s="50" t="n"/>
    </row>
    <row r="157" ht="15" customHeight="1" s="32">
      <c r="A157" s="50" t="n"/>
      <c r="B157" s="50" t="n"/>
      <c r="C157" s="50" t="n"/>
      <c r="D157" s="50" t="n"/>
      <c r="E157" s="51" t="n"/>
      <c r="F157" s="51" t="n"/>
      <c r="G157" s="52">
        <f>IF(E157="","",E157-TODAY())</f>
        <v/>
      </c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3">
        <f>IF(B157="","",IF(COUNTBLANK(J157:O157)=6,"",IF(COUNTIF(J157:O157,"Красный")&gt;0,"Красный",IF(COUNTIF(J157:O157,"Жёлтый")&gt;0,"Жёлтый",IF(COUNTIF(J157:O157,"Не начат")&gt;0,"Не начат","Зелёный")))))</f>
        <v/>
      </c>
      <c r="Q157" s="50" t="n"/>
      <c r="R157" s="50" t="n"/>
      <c r="S157" s="50" t="n"/>
    </row>
    <row r="158" ht="15" customHeight="1" s="32">
      <c r="A158" s="50" t="n"/>
      <c r="B158" s="50" t="n"/>
      <c r="C158" s="50" t="n"/>
      <c r="D158" s="50" t="n"/>
      <c r="E158" s="51" t="n"/>
      <c r="F158" s="51" t="n"/>
      <c r="G158" s="52">
        <f>IF(E158="","",E158-TODAY())</f>
        <v/>
      </c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3">
        <f>IF(B158="","",IF(COUNTBLANK(J158:O158)=6,"",IF(COUNTIF(J158:O158,"Красный")&gt;0,"Красный",IF(COUNTIF(J158:O158,"Жёлтый")&gt;0,"Жёлтый",IF(COUNTIF(J158:O158,"Не начат")&gt;0,"Не начат","Зелёный")))))</f>
        <v/>
      </c>
      <c r="Q158" s="50" t="n"/>
      <c r="R158" s="50" t="n"/>
      <c r="S158" s="50" t="n"/>
    </row>
    <row r="159" ht="15" customHeight="1" s="32">
      <c r="A159" s="50" t="n"/>
      <c r="B159" s="50" t="n"/>
      <c r="C159" s="50" t="n"/>
      <c r="D159" s="50" t="n"/>
      <c r="E159" s="51" t="n"/>
      <c r="F159" s="51" t="n"/>
      <c r="G159" s="52">
        <f>IF(E159="","",E159-TODAY())</f>
        <v/>
      </c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3">
        <f>IF(B159="","",IF(COUNTBLANK(J159:O159)=6,"",IF(COUNTIF(J159:O159,"Красный")&gt;0,"Красный",IF(COUNTIF(J159:O159,"Жёлтый")&gt;0,"Жёлтый",IF(COUNTIF(J159:O159,"Не начат")&gt;0,"Не начат","Зелёный")))))</f>
        <v/>
      </c>
      <c r="Q159" s="50" t="n"/>
      <c r="R159" s="50" t="n"/>
      <c r="S159" s="50" t="n"/>
    </row>
    <row r="160" ht="15" customHeight="1" s="32">
      <c r="A160" s="50" t="n"/>
      <c r="B160" s="50" t="n"/>
      <c r="C160" s="50" t="n"/>
      <c r="D160" s="50" t="n"/>
      <c r="E160" s="51" t="n"/>
      <c r="F160" s="51" t="n"/>
      <c r="G160" s="52">
        <f>IF(E160="","",E160-TODAY())</f>
        <v/>
      </c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3">
        <f>IF(B160="","",IF(COUNTBLANK(J160:O160)=6,"",IF(COUNTIF(J160:O160,"Красный")&gt;0,"Красный",IF(COUNTIF(J160:O160,"Жёлтый")&gt;0,"Жёлтый",IF(COUNTIF(J160:O160,"Не начат")&gt;0,"Не начат","Зелёный")))))</f>
        <v/>
      </c>
      <c r="Q160" s="50" t="n"/>
      <c r="R160" s="50" t="n"/>
      <c r="S160" s="50" t="n"/>
    </row>
    <row r="161" ht="15" customHeight="1" s="32">
      <c r="A161" s="50" t="n"/>
      <c r="B161" s="50" t="n"/>
      <c r="C161" s="50" t="n"/>
      <c r="D161" s="50" t="n"/>
      <c r="E161" s="51" t="n"/>
      <c r="F161" s="51" t="n"/>
      <c r="G161" s="52">
        <f>IF(E161="","",E161-TODAY())</f>
        <v/>
      </c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3">
        <f>IF(B161="","",IF(COUNTBLANK(J161:O161)=6,"",IF(COUNTIF(J161:O161,"Красный")&gt;0,"Красный",IF(COUNTIF(J161:O161,"Жёлтый")&gt;0,"Жёлтый",IF(COUNTIF(J161:O161,"Не начат")&gt;0,"Не начат","Зелёный")))))</f>
        <v/>
      </c>
      <c r="Q161" s="50" t="n"/>
      <c r="R161" s="50" t="n"/>
      <c r="S161" s="50" t="n"/>
    </row>
    <row r="162" ht="15" customHeight="1" s="32">
      <c r="A162" s="50" t="n"/>
      <c r="B162" s="50" t="n"/>
      <c r="C162" s="50" t="n"/>
      <c r="D162" s="50" t="n"/>
      <c r="E162" s="51" t="n"/>
      <c r="F162" s="51" t="n"/>
      <c r="G162" s="52">
        <f>IF(E162="","",E162-TODAY())</f>
        <v/>
      </c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3">
        <f>IF(B162="","",IF(COUNTBLANK(J162:O162)=6,"",IF(COUNTIF(J162:O162,"Красный")&gt;0,"Красный",IF(COUNTIF(J162:O162,"Жёлтый")&gt;0,"Жёлтый",IF(COUNTIF(J162:O162,"Не начат")&gt;0,"Не начат","Зелёный")))))</f>
        <v/>
      </c>
      <c r="Q162" s="50" t="n"/>
      <c r="R162" s="50" t="n"/>
      <c r="S162" s="50" t="n"/>
    </row>
    <row r="163" ht="15" customHeight="1" s="32">
      <c r="A163" s="50" t="n"/>
      <c r="B163" s="50" t="n"/>
      <c r="C163" s="50" t="n"/>
      <c r="D163" s="50" t="n"/>
      <c r="E163" s="51" t="n"/>
      <c r="F163" s="51" t="n"/>
      <c r="G163" s="52">
        <f>IF(E163="","",E163-TODAY())</f>
        <v/>
      </c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3">
        <f>IF(B163="","",IF(COUNTBLANK(J163:O163)=6,"",IF(COUNTIF(J163:O163,"Красный")&gt;0,"Красный",IF(COUNTIF(J163:O163,"Жёлтый")&gt;0,"Жёлтый",IF(COUNTIF(J163:O163,"Не начат")&gt;0,"Не начат","Зелёный")))))</f>
        <v/>
      </c>
      <c r="Q163" s="50" t="n"/>
      <c r="R163" s="50" t="n"/>
      <c r="S163" s="50" t="n"/>
    </row>
    <row r="164" ht="15" customHeight="1" s="32">
      <c r="A164" s="50" t="n"/>
      <c r="B164" s="50" t="n"/>
      <c r="C164" s="50" t="n"/>
      <c r="D164" s="50" t="n"/>
      <c r="E164" s="51" t="n"/>
      <c r="F164" s="51" t="n"/>
      <c r="G164" s="52">
        <f>IF(E164="","",E164-TODAY())</f>
        <v/>
      </c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3">
        <f>IF(B164="","",IF(COUNTBLANK(J164:O164)=6,"",IF(COUNTIF(J164:O164,"Красный")&gt;0,"Красный",IF(COUNTIF(J164:O164,"Жёлтый")&gt;0,"Жёлтый",IF(COUNTIF(J164:O164,"Не начат")&gt;0,"Не начат","Зелёный")))))</f>
        <v/>
      </c>
      <c r="Q164" s="50" t="n"/>
      <c r="R164" s="50" t="n"/>
      <c r="S164" s="50" t="n"/>
    </row>
    <row r="165" ht="15" customHeight="1" s="32">
      <c r="A165" s="50" t="n"/>
      <c r="B165" s="50" t="n"/>
      <c r="C165" s="50" t="n"/>
      <c r="D165" s="50" t="n"/>
      <c r="E165" s="51" t="n"/>
      <c r="F165" s="51" t="n"/>
      <c r="G165" s="52">
        <f>IF(E165="","",E165-TODAY())</f>
        <v/>
      </c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3">
        <f>IF(B165="","",IF(COUNTBLANK(J165:O165)=6,"",IF(COUNTIF(J165:O165,"Красный")&gt;0,"Красный",IF(COUNTIF(J165:O165,"Жёлтый")&gt;0,"Жёлтый",IF(COUNTIF(J165:O165,"Не начат")&gt;0,"Не начат","Зелёный")))))</f>
        <v/>
      </c>
      <c r="Q165" s="50" t="n"/>
      <c r="R165" s="50" t="n"/>
      <c r="S165" s="50" t="n"/>
    </row>
    <row r="166" ht="15" customHeight="1" s="32">
      <c r="A166" s="50" t="n"/>
      <c r="B166" s="50" t="n"/>
      <c r="C166" s="50" t="n"/>
      <c r="D166" s="50" t="n"/>
      <c r="E166" s="51" t="n"/>
      <c r="F166" s="51" t="n"/>
      <c r="G166" s="52">
        <f>IF(E166="","",E166-TODAY())</f>
        <v/>
      </c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3">
        <f>IF(B166="","",IF(COUNTBLANK(J166:O166)=6,"",IF(COUNTIF(J166:O166,"Красный")&gt;0,"Красный",IF(COUNTIF(J166:O166,"Жёлтый")&gt;0,"Жёлтый",IF(COUNTIF(J166:O166,"Не начат")&gt;0,"Не начат","Зелёный")))))</f>
        <v/>
      </c>
      <c r="Q166" s="50" t="n"/>
      <c r="R166" s="50" t="n"/>
      <c r="S166" s="50" t="n"/>
    </row>
    <row r="167" ht="15" customHeight="1" s="32">
      <c r="A167" s="50" t="n"/>
      <c r="B167" s="50" t="n"/>
      <c r="C167" s="50" t="n"/>
      <c r="D167" s="50" t="n"/>
      <c r="E167" s="51" t="n"/>
      <c r="F167" s="51" t="n"/>
      <c r="G167" s="52">
        <f>IF(E167="","",E167-TODAY())</f>
        <v/>
      </c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3">
        <f>IF(B167="","",IF(COUNTBLANK(J167:O167)=6,"",IF(COUNTIF(J167:O167,"Красный")&gt;0,"Красный",IF(COUNTIF(J167:O167,"Жёлтый")&gt;0,"Жёлтый",IF(COUNTIF(J167:O167,"Не начат")&gt;0,"Не начат","Зелёный")))))</f>
        <v/>
      </c>
      <c r="Q167" s="50" t="n"/>
      <c r="R167" s="50" t="n"/>
      <c r="S167" s="50" t="n"/>
    </row>
    <row r="168" ht="15" customHeight="1" s="32">
      <c r="A168" s="50" t="n"/>
      <c r="B168" s="50" t="n"/>
      <c r="C168" s="50" t="n"/>
      <c r="D168" s="50" t="n"/>
      <c r="E168" s="51" t="n"/>
      <c r="F168" s="51" t="n"/>
      <c r="G168" s="52">
        <f>IF(E168="","",E168-TODAY())</f>
        <v/>
      </c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3">
        <f>IF(B168="","",IF(COUNTBLANK(J168:O168)=6,"",IF(COUNTIF(J168:O168,"Красный")&gt;0,"Красный",IF(COUNTIF(J168:O168,"Жёлтый")&gt;0,"Жёлтый",IF(COUNTIF(J168:O168,"Не начат")&gt;0,"Не начат","Зелёный")))))</f>
        <v/>
      </c>
      <c r="Q168" s="50" t="n"/>
      <c r="R168" s="50" t="n"/>
      <c r="S168" s="50" t="n"/>
    </row>
    <row r="169" ht="15" customHeight="1" s="32">
      <c r="A169" s="50" t="n"/>
      <c r="B169" s="50" t="n"/>
      <c r="C169" s="50" t="n"/>
      <c r="D169" s="50" t="n"/>
      <c r="E169" s="51" t="n"/>
      <c r="F169" s="51" t="n"/>
      <c r="G169" s="52">
        <f>IF(E169="","",E169-TODAY())</f>
        <v/>
      </c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3">
        <f>IF(B169="","",IF(COUNTBLANK(J169:O169)=6,"",IF(COUNTIF(J169:O169,"Красный")&gt;0,"Красный",IF(COUNTIF(J169:O169,"Жёлтый")&gt;0,"Жёлтый",IF(COUNTIF(J169:O169,"Не начат")&gt;0,"Не начат","Зелёный")))))</f>
        <v/>
      </c>
      <c r="Q169" s="50" t="n"/>
      <c r="R169" s="50" t="n"/>
      <c r="S169" s="50" t="n"/>
    </row>
    <row r="170" ht="15" customHeight="1" s="32">
      <c r="A170" s="50" t="n"/>
      <c r="B170" s="50" t="n"/>
      <c r="C170" s="50" t="n"/>
      <c r="D170" s="50" t="n"/>
      <c r="E170" s="51" t="n"/>
      <c r="F170" s="51" t="n"/>
      <c r="G170" s="52">
        <f>IF(E170="","",E170-TODAY())</f>
        <v/>
      </c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3">
        <f>IF(B170="","",IF(COUNTBLANK(J170:O170)=6,"",IF(COUNTIF(J170:O170,"Красный")&gt;0,"Красный",IF(COUNTIF(J170:O170,"Жёлтый")&gt;0,"Жёлтый",IF(COUNTIF(J170:O170,"Не начат")&gt;0,"Не начат","Зелёный")))))</f>
        <v/>
      </c>
      <c r="Q170" s="50" t="n"/>
      <c r="R170" s="50" t="n"/>
      <c r="S170" s="50" t="n"/>
    </row>
    <row r="171" ht="15" customHeight="1" s="32">
      <c r="A171" s="50" t="n"/>
      <c r="B171" s="50" t="n"/>
      <c r="C171" s="50" t="n"/>
      <c r="D171" s="50" t="n"/>
      <c r="E171" s="51" t="n"/>
      <c r="F171" s="51" t="n"/>
      <c r="G171" s="52">
        <f>IF(E171="","",E171-TODAY())</f>
        <v/>
      </c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3">
        <f>IF(B171="","",IF(COUNTBLANK(J171:O171)=6,"",IF(COUNTIF(J171:O171,"Красный")&gt;0,"Красный",IF(COUNTIF(J171:O171,"Жёлтый")&gt;0,"Жёлтый",IF(COUNTIF(J171:O171,"Не начат")&gt;0,"Не начат","Зелёный")))))</f>
        <v/>
      </c>
      <c r="Q171" s="50" t="n"/>
      <c r="R171" s="50" t="n"/>
      <c r="S171" s="50" t="n"/>
    </row>
    <row r="172" ht="15" customHeight="1" s="32">
      <c r="A172" s="50" t="n"/>
      <c r="B172" s="50" t="n"/>
      <c r="C172" s="50" t="n"/>
      <c r="D172" s="50" t="n"/>
      <c r="E172" s="51" t="n"/>
      <c r="F172" s="51" t="n"/>
      <c r="G172" s="52">
        <f>IF(E172="","",E172-TODAY())</f>
        <v/>
      </c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3">
        <f>IF(B172="","",IF(COUNTBLANK(J172:O172)=6,"",IF(COUNTIF(J172:O172,"Красный")&gt;0,"Красный",IF(COUNTIF(J172:O172,"Жёлтый")&gt;0,"Жёлтый",IF(COUNTIF(J172:O172,"Не начат")&gt;0,"Не начат","Зелёный")))))</f>
        <v/>
      </c>
      <c r="Q172" s="50" t="n"/>
      <c r="R172" s="50" t="n"/>
      <c r="S172" s="50" t="n"/>
    </row>
    <row r="173" ht="15" customHeight="1" s="32">
      <c r="A173" s="50" t="n"/>
      <c r="B173" s="50" t="n"/>
      <c r="C173" s="50" t="n"/>
      <c r="D173" s="50" t="n"/>
      <c r="E173" s="51" t="n"/>
      <c r="F173" s="51" t="n"/>
      <c r="G173" s="52">
        <f>IF(E173="","",E173-TODAY())</f>
        <v/>
      </c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3">
        <f>IF(B173="","",IF(COUNTBLANK(J173:O173)=6,"",IF(COUNTIF(J173:O173,"Красный")&gt;0,"Красный",IF(COUNTIF(J173:O173,"Жёлтый")&gt;0,"Жёлтый",IF(COUNTIF(J173:O173,"Не начат")&gt;0,"Не начат","Зелёный")))))</f>
        <v/>
      </c>
      <c r="Q173" s="50" t="n"/>
      <c r="R173" s="50" t="n"/>
      <c r="S173" s="50" t="n"/>
    </row>
    <row r="174" ht="15" customHeight="1" s="32">
      <c r="A174" s="50" t="n"/>
      <c r="B174" s="50" t="n"/>
      <c r="C174" s="50" t="n"/>
      <c r="D174" s="50" t="n"/>
      <c r="E174" s="51" t="n"/>
      <c r="F174" s="51" t="n"/>
      <c r="G174" s="52">
        <f>IF(E174="","",E174-TODAY())</f>
        <v/>
      </c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3">
        <f>IF(B174="","",IF(COUNTBLANK(J174:O174)=6,"",IF(COUNTIF(J174:O174,"Красный")&gt;0,"Красный",IF(COUNTIF(J174:O174,"Жёлтый")&gt;0,"Жёлтый",IF(COUNTIF(J174:O174,"Не начат")&gt;0,"Не начат","Зелёный")))))</f>
        <v/>
      </c>
      <c r="Q174" s="50" t="n"/>
      <c r="R174" s="50" t="n"/>
      <c r="S174" s="50" t="n"/>
    </row>
    <row r="175" ht="15" customHeight="1" s="32">
      <c r="A175" s="50" t="n"/>
      <c r="B175" s="50" t="n"/>
      <c r="C175" s="50" t="n"/>
      <c r="D175" s="50" t="n"/>
      <c r="E175" s="51" t="n"/>
      <c r="F175" s="51" t="n"/>
      <c r="G175" s="52">
        <f>IF(E175="","",E175-TODAY())</f>
        <v/>
      </c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3">
        <f>IF(B175="","",IF(COUNTBLANK(J175:O175)=6,"",IF(COUNTIF(J175:O175,"Красный")&gt;0,"Красный",IF(COUNTIF(J175:O175,"Жёлтый")&gt;0,"Жёлтый",IF(COUNTIF(J175:O175,"Не начат")&gt;0,"Не начат","Зелёный")))))</f>
        <v/>
      </c>
      <c r="Q175" s="50" t="n"/>
      <c r="R175" s="50" t="n"/>
      <c r="S175" s="50" t="n"/>
    </row>
    <row r="176" ht="15" customHeight="1" s="32">
      <c r="A176" s="50" t="n"/>
      <c r="B176" s="50" t="n"/>
      <c r="C176" s="50" t="n"/>
      <c r="D176" s="50" t="n"/>
      <c r="E176" s="51" t="n"/>
      <c r="F176" s="51" t="n"/>
      <c r="G176" s="52">
        <f>IF(E176="","",E176-TODAY())</f>
        <v/>
      </c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3">
        <f>IF(B176="","",IF(COUNTBLANK(J176:O176)=6,"",IF(COUNTIF(J176:O176,"Красный")&gt;0,"Красный",IF(COUNTIF(J176:O176,"Жёлтый")&gt;0,"Жёлтый",IF(COUNTIF(J176:O176,"Не начат")&gt;0,"Не начат","Зелёный")))))</f>
        <v/>
      </c>
      <c r="Q176" s="50" t="n"/>
      <c r="R176" s="50" t="n"/>
      <c r="S176" s="50" t="n"/>
    </row>
    <row r="177" ht="15" customHeight="1" s="32">
      <c r="A177" s="50" t="n"/>
      <c r="B177" s="50" t="n"/>
      <c r="C177" s="50" t="n"/>
      <c r="D177" s="50" t="n"/>
      <c r="E177" s="51" t="n"/>
      <c r="F177" s="51" t="n"/>
      <c r="G177" s="52">
        <f>IF(E177="","",E177-TODAY())</f>
        <v/>
      </c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3">
        <f>IF(B177="","",IF(COUNTBLANK(J177:O177)=6,"",IF(COUNTIF(J177:O177,"Красный")&gt;0,"Красный",IF(COUNTIF(J177:O177,"Жёлтый")&gt;0,"Жёлтый",IF(COUNTIF(J177:O177,"Не начат")&gt;0,"Не начат","Зелёный")))))</f>
        <v/>
      </c>
      <c r="Q177" s="50" t="n"/>
      <c r="R177" s="50" t="n"/>
      <c r="S177" s="50" t="n"/>
    </row>
    <row r="178" ht="15" customHeight="1" s="32">
      <c r="A178" s="50" t="n"/>
      <c r="B178" s="50" t="n"/>
      <c r="C178" s="50" t="n"/>
      <c r="D178" s="50" t="n"/>
      <c r="E178" s="51" t="n"/>
      <c r="F178" s="51" t="n"/>
      <c r="G178" s="52">
        <f>IF(E178="","",E178-TODAY())</f>
        <v/>
      </c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3">
        <f>IF(B178="","",IF(COUNTBLANK(J178:O178)=6,"",IF(COUNTIF(J178:O178,"Красный")&gt;0,"Красный",IF(COUNTIF(J178:O178,"Жёлтый")&gt;0,"Жёлтый",IF(COUNTIF(J178:O178,"Не начат")&gt;0,"Не начат","Зелёный")))))</f>
        <v/>
      </c>
      <c r="Q178" s="50" t="n"/>
      <c r="R178" s="50" t="n"/>
      <c r="S178" s="50" t="n"/>
    </row>
    <row r="179" ht="15" customHeight="1" s="32">
      <c r="A179" s="50" t="n"/>
      <c r="B179" s="50" t="n"/>
      <c r="C179" s="50" t="n"/>
      <c r="D179" s="50" t="n"/>
      <c r="E179" s="51" t="n"/>
      <c r="F179" s="51" t="n"/>
      <c r="G179" s="52">
        <f>IF(E179="","",E179-TODAY())</f>
        <v/>
      </c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3">
        <f>IF(B179="","",IF(COUNTBLANK(J179:O179)=6,"",IF(COUNTIF(J179:O179,"Красный")&gt;0,"Красный",IF(COUNTIF(J179:O179,"Жёлтый")&gt;0,"Жёлтый",IF(COUNTIF(J179:O179,"Не начат")&gt;0,"Не начат","Зелёный")))))</f>
        <v/>
      </c>
      <c r="Q179" s="50" t="n"/>
      <c r="R179" s="50" t="n"/>
      <c r="S179" s="50" t="n"/>
    </row>
    <row r="180" ht="15" customHeight="1" s="32">
      <c r="A180" s="50" t="n"/>
      <c r="B180" s="50" t="n"/>
      <c r="C180" s="50" t="n"/>
      <c r="D180" s="50" t="n"/>
      <c r="E180" s="51" t="n"/>
      <c r="F180" s="51" t="n"/>
      <c r="G180" s="52">
        <f>IF(E180="","",E180-TODAY())</f>
        <v/>
      </c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3">
        <f>IF(B180="","",IF(COUNTBLANK(J180:O180)=6,"",IF(COUNTIF(J180:O180,"Красный")&gt;0,"Красный",IF(COUNTIF(J180:O180,"Жёлтый")&gt;0,"Жёлтый",IF(COUNTIF(J180:O180,"Не начат")&gt;0,"Не начат","Зелёный")))))</f>
        <v/>
      </c>
      <c r="Q180" s="50" t="n"/>
      <c r="R180" s="50" t="n"/>
      <c r="S180" s="50" t="n"/>
    </row>
    <row r="181" ht="15" customHeight="1" s="32">
      <c r="A181" s="50" t="n"/>
      <c r="B181" s="50" t="n"/>
      <c r="C181" s="50" t="n"/>
      <c r="D181" s="50" t="n"/>
      <c r="E181" s="51" t="n"/>
      <c r="F181" s="51" t="n"/>
      <c r="G181" s="52">
        <f>IF(E181="","",E181-TODAY())</f>
        <v/>
      </c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3">
        <f>IF(B181="","",IF(COUNTBLANK(J181:O181)=6,"",IF(COUNTIF(J181:O181,"Красный")&gt;0,"Красный",IF(COUNTIF(J181:O181,"Жёлтый")&gt;0,"Жёлтый",IF(COUNTIF(J181:O181,"Не начат")&gt;0,"Не начат","Зелёный")))))</f>
        <v/>
      </c>
      <c r="Q181" s="50" t="n"/>
      <c r="R181" s="50" t="n"/>
      <c r="S181" s="50" t="n"/>
    </row>
    <row r="182" ht="15" customHeight="1" s="32">
      <c r="A182" s="50" t="n"/>
      <c r="B182" s="50" t="n"/>
      <c r="C182" s="50" t="n"/>
      <c r="D182" s="50" t="n"/>
      <c r="E182" s="51" t="n"/>
      <c r="F182" s="51" t="n"/>
      <c r="G182" s="52">
        <f>IF(E182="","",E182-TODAY())</f>
        <v/>
      </c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3">
        <f>IF(B182="","",IF(COUNTBLANK(J182:O182)=6,"",IF(COUNTIF(J182:O182,"Красный")&gt;0,"Красный",IF(COUNTIF(J182:O182,"Жёлтый")&gt;0,"Жёлтый",IF(COUNTIF(J182:O182,"Не начат")&gt;0,"Не начат","Зелёный")))))</f>
        <v/>
      </c>
      <c r="Q182" s="50" t="n"/>
      <c r="R182" s="50" t="n"/>
      <c r="S182" s="50" t="n"/>
    </row>
    <row r="183" ht="15" customHeight="1" s="32">
      <c r="A183" s="50" t="n"/>
      <c r="B183" s="50" t="n"/>
      <c r="C183" s="50" t="n"/>
      <c r="D183" s="50" t="n"/>
      <c r="E183" s="51" t="n"/>
      <c r="F183" s="51" t="n"/>
      <c r="G183" s="52">
        <f>IF(E183="","",E183-TODAY())</f>
        <v/>
      </c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3">
        <f>IF(B183="","",IF(COUNTBLANK(J183:O183)=6,"",IF(COUNTIF(J183:O183,"Красный")&gt;0,"Красный",IF(COUNTIF(J183:O183,"Жёлтый")&gt;0,"Жёлтый",IF(COUNTIF(J183:O183,"Не начат")&gt;0,"Не начат","Зелёный")))))</f>
        <v/>
      </c>
      <c r="Q183" s="50" t="n"/>
      <c r="R183" s="50" t="n"/>
      <c r="S183" s="50" t="n"/>
    </row>
    <row r="184" ht="15" customHeight="1" s="32">
      <c r="A184" s="50" t="n"/>
      <c r="B184" s="50" t="n"/>
      <c r="C184" s="50" t="n"/>
      <c r="D184" s="50" t="n"/>
      <c r="E184" s="51" t="n"/>
      <c r="F184" s="51" t="n"/>
      <c r="G184" s="52">
        <f>IF(E184="","",E184-TODAY())</f>
        <v/>
      </c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3">
        <f>IF(B184="","",IF(COUNTBLANK(J184:O184)=6,"",IF(COUNTIF(J184:O184,"Красный")&gt;0,"Красный",IF(COUNTIF(J184:O184,"Жёлтый")&gt;0,"Жёлтый",IF(COUNTIF(J184:O184,"Не начат")&gt;0,"Не начат","Зелёный")))))</f>
        <v/>
      </c>
      <c r="Q184" s="50" t="n"/>
      <c r="R184" s="50" t="n"/>
      <c r="S184" s="50" t="n"/>
    </row>
    <row r="185" ht="15" customHeight="1" s="32">
      <c r="A185" s="50" t="n"/>
      <c r="B185" s="50" t="n"/>
      <c r="C185" s="50" t="n"/>
      <c r="D185" s="50" t="n"/>
      <c r="E185" s="51" t="n"/>
      <c r="F185" s="51" t="n"/>
      <c r="G185" s="52">
        <f>IF(E185="","",E185-TODAY())</f>
        <v/>
      </c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3">
        <f>IF(B185="","",IF(COUNTBLANK(J185:O185)=6,"",IF(COUNTIF(J185:O185,"Красный")&gt;0,"Красный",IF(COUNTIF(J185:O185,"Жёлтый")&gt;0,"Жёлтый",IF(COUNTIF(J185:O185,"Не начат")&gt;0,"Не начат","Зелёный")))))</f>
        <v/>
      </c>
      <c r="Q185" s="50" t="n"/>
      <c r="R185" s="50" t="n"/>
      <c r="S185" s="50" t="n"/>
    </row>
    <row r="186" ht="15" customHeight="1" s="32">
      <c r="A186" s="50" t="n"/>
      <c r="B186" s="50" t="n"/>
      <c r="C186" s="50" t="n"/>
      <c r="D186" s="50" t="n"/>
      <c r="E186" s="51" t="n"/>
      <c r="F186" s="51" t="n"/>
      <c r="G186" s="52">
        <f>IF(E186="","",E186-TODAY())</f>
        <v/>
      </c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3">
        <f>IF(B186="","",IF(COUNTBLANK(J186:O186)=6,"",IF(COUNTIF(J186:O186,"Красный")&gt;0,"Красный",IF(COUNTIF(J186:O186,"Жёлтый")&gt;0,"Жёлтый",IF(COUNTIF(J186:O186,"Не начат")&gt;0,"Не начат","Зелёный")))))</f>
        <v/>
      </c>
      <c r="Q186" s="50" t="n"/>
      <c r="R186" s="50" t="n"/>
      <c r="S186" s="50" t="n"/>
    </row>
    <row r="187" ht="15" customHeight="1" s="32">
      <c r="A187" s="50" t="n"/>
      <c r="B187" s="50" t="n"/>
      <c r="C187" s="50" t="n"/>
      <c r="D187" s="50" t="n"/>
      <c r="E187" s="51" t="n"/>
      <c r="F187" s="51" t="n"/>
      <c r="G187" s="52">
        <f>IF(E187="","",E187-TODAY())</f>
        <v/>
      </c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3">
        <f>IF(B187="","",IF(COUNTBLANK(J187:O187)=6,"",IF(COUNTIF(J187:O187,"Красный")&gt;0,"Красный",IF(COUNTIF(J187:O187,"Жёлтый")&gt;0,"Жёлтый",IF(COUNTIF(J187:O187,"Не начат")&gt;0,"Не начат","Зелёный")))))</f>
        <v/>
      </c>
      <c r="Q187" s="50" t="n"/>
      <c r="R187" s="50" t="n"/>
      <c r="S187" s="50" t="n"/>
    </row>
    <row r="188" ht="15" customHeight="1" s="32">
      <c r="A188" s="50" t="n"/>
      <c r="B188" s="50" t="n"/>
      <c r="C188" s="50" t="n"/>
      <c r="D188" s="50" t="n"/>
      <c r="E188" s="51" t="n"/>
      <c r="F188" s="51" t="n"/>
      <c r="G188" s="52">
        <f>IF(E188="","",E188-TODAY())</f>
        <v/>
      </c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3">
        <f>IF(B188="","",IF(COUNTBLANK(J188:O188)=6,"",IF(COUNTIF(J188:O188,"Красный")&gt;0,"Красный",IF(COUNTIF(J188:O188,"Жёлтый")&gt;0,"Жёлтый",IF(COUNTIF(J188:O188,"Не начат")&gt;0,"Не начат","Зелёный")))))</f>
        <v/>
      </c>
      <c r="Q188" s="50" t="n"/>
      <c r="R188" s="50" t="n"/>
      <c r="S188" s="50" t="n"/>
    </row>
    <row r="189" ht="15" customHeight="1" s="32">
      <c r="A189" s="50" t="n"/>
      <c r="B189" s="50" t="n"/>
      <c r="C189" s="50" t="n"/>
      <c r="D189" s="50" t="n"/>
      <c r="E189" s="51" t="n"/>
      <c r="F189" s="51" t="n"/>
      <c r="G189" s="52">
        <f>IF(E189="","",E189-TODAY())</f>
        <v/>
      </c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3">
        <f>IF(B189="","",IF(COUNTBLANK(J189:O189)=6,"",IF(COUNTIF(J189:O189,"Красный")&gt;0,"Красный",IF(COUNTIF(J189:O189,"Жёлтый")&gt;0,"Жёлтый",IF(COUNTIF(J189:O189,"Не начат")&gt;0,"Не начат","Зелёный")))))</f>
        <v/>
      </c>
      <c r="Q189" s="50" t="n"/>
      <c r="R189" s="50" t="n"/>
      <c r="S189" s="50" t="n"/>
    </row>
    <row r="190" ht="15" customHeight="1" s="32">
      <c r="A190" s="50" t="n"/>
      <c r="B190" s="50" t="n"/>
      <c r="C190" s="50" t="n"/>
      <c r="D190" s="50" t="n"/>
      <c r="E190" s="51" t="n"/>
      <c r="F190" s="51" t="n"/>
      <c r="G190" s="52">
        <f>IF(E190="","",E190-TODAY())</f>
        <v/>
      </c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3">
        <f>IF(B190="","",IF(COUNTBLANK(J190:O190)=6,"",IF(COUNTIF(J190:O190,"Красный")&gt;0,"Красный",IF(COUNTIF(J190:O190,"Жёлтый")&gt;0,"Жёлтый",IF(COUNTIF(J190:O190,"Не начат")&gt;0,"Не начат","Зелёный")))))</f>
        <v/>
      </c>
      <c r="Q190" s="50" t="n"/>
      <c r="R190" s="50" t="n"/>
      <c r="S190" s="50" t="n"/>
    </row>
    <row r="191" ht="15" customHeight="1" s="32">
      <c r="A191" s="50" t="n"/>
      <c r="B191" s="50" t="n"/>
      <c r="C191" s="50" t="n"/>
      <c r="D191" s="50" t="n"/>
      <c r="E191" s="51" t="n"/>
      <c r="F191" s="51" t="n"/>
      <c r="G191" s="52">
        <f>IF(E191="","",E191-TODAY())</f>
        <v/>
      </c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3">
        <f>IF(B191="","",IF(COUNTBLANK(J191:O191)=6,"",IF(COUNTIF(J191:O191,"Красный")&gt;0,"Красный",IF(COUNTIF(J191:O191,"Жёлтый")&gt;0,"Жёлтый",IF(COUNTIF(J191:O191,"Не начат")&gt;0,"Не начат","Зелёный")))))</f>
        <v/>
      </c>
      <c r="Q191" s="50" t="n"/>
      <c r="R191" s="50" t="n"/>
      <c r="S191" s="50" t="n"/>
    </row>
    <row r="192" ht="15" customHeight="1" s="32">
      <c r="A192" s="50" t="n"/>
      <c r="B192" s="50" t="n"/>
      <c r="C192" s="50" t="n"/>
      <c r="D192" s="50" t="n"/>
      <c r="E192" s="51" t="n"/>
      <c r="F192" s="51" t="n"/>
      <c r="G192" s="52">
        <f>IF(E192="","",E192-TODAY())</f>
        <v/>
      </c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3">
        <f>IF(B192="","",IF(COUNTBLANK(J192:O192)=6,"",IF(COUNTIF(J192:O192,"Красный")&gt;0,"Красный",IF(COUNTIF(J192:O192,"Жёлтый")&gt;0,"Жёлтый",IF(COUNTIF(J192:O192,"Не начат")&gt;0,"Не начат","Зелёный")))))</f>
        <v/>
      </c>
      <c r="Q192" s="50" t="n"/>
      <c r="R192" s="50" t="n"/>
      <c r="S192" s="50" t="n"/>
    </row>
    <row r="193" ht="15" customHeight="1" s="32">
      <c r="A193" s="50" t="n"/>
      <c r="B193" s="50" t="n"/>
      <c r="C193" s="50" t="n"/>
      <c r="D193" s="50" t="n"/>
      <c r="E193" s="51" t="n"/>
      <c r="F193" s="51" t="n"/>
      <c r="G193" s="52">
        <f>IF(E193="","",E193-TODAY())</f>
        <v/>
      </c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3">
        <f>IF(B193="","",IF(COUNTBLANK(J193:O193)=6,"",IF(COUNTIF(J193:O193,"Красный")&gt;0,"Красный",IF(COUNTIF(J193:O193,"Жёлтый")&gt;0,"Жёлтый",IF(COUNTIF(J193:O193,"Не начат")&gt;0,"Не начат","Зелёный")))))</f>
        <v/>
      </c>
      <c r="Q193" s="50" t="n"/>
      <c r="R193" s="50" t="n"/>
      <c r="S193" s="50" t="n"/>
    </row>
    <row r="194" ht="15" customHeight="1" s="32">
      <c r="A194" s="50" t="n"/>
      <c r="B194" s="50" t="n"/>
      <c r="C194" s="50" t="n"/>
      <c r="D194" s="50" t="n"/>
      <c r="E194" s="51" t="n"/>
      <c r="F194" s="51" t="n"/>
      <c r="G194" s="52">
        <f>IF(E194="","",E194-TODAY())</f>
        <v/>
      </c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3">
        <f>IF(B194="","",IF(COUNTBLANK(J194:O194)=6,"",IF(COUNTIF(J194:O194,"Красный")&gt;0,"Красный",IF(COUNTIF(J194:O194,"Жёлтый")&gt;0,"Жёлтый",IF(COUNTIF(J194:O194,"Не начат")&gt;0,"Не начат","Зелёный")))))</f>
        <v/>
      </c>
      <c r="Q194" s="50" t="n"/>
      <c r="R194" s="50" t="n"/>
      <c r="S194" s="50" t="n"/>
    </row>
    <row r="195" ht="15" customHeight="1" s="32">
      <c r="A195" s="50" t="n"/>
      <c r="B195" s="50" t="n"/>
      <c r="C195" s="50" t="n"/>
      <c r="D195" s="50" t="n"/>
      <c r="E195" s="51" t="n"/>
      <c r="F195" s="51" t="n"/>
      <c r="G195" s="52">
        <f>IF(E195="","",E195-TODAY())</f>
        <v/>
      </c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3">
        <f>IF(B195="","",IF(COUNTBLANK(J195:O195)=6,"",IF(COUNTIF(J195:O195,"Красный")&gt;0,"Красный",IF(COUNTIF(J195:O195,"Жёлтый")&gt;0,"Жёлтый",IF(COUNTIF(J195:O195,"Не начат")&gt;0,"Не начат","Зелёный")))))</f>
        <v/>
      </c>
      <c r="Q195" s="50" t="n"/>
      <c r="R195" s="50" t="n"/>
      <c r="S195" s="50" t="n"/>
    </row>
    <row r="196" ht="15" customHeight="1" s="32">
      <c r="A196" s="50" t="n"/>
      <c r="B196" s="50" t="n"/>
      <c r="C196" s="50" t="n"/>
      <c r="D196" s="50" t="n"/>
      <c r="E196" s="51" t="n"/>
      <c r="F196" s="51" t="n"/>
      <c r="G196" s="52">
        <f>IF(E196="","",E196-TODAY())</f>
        <v/>
      </c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3">
        <f>IF(B196="","",IF(COUNTBLANK(J196:O196)=6,"",IF(COUNTIF(J196:O196,"Красный")&gt;0,"Красный",IF(COUNTIF(J196:O196,"Жёлтый")&gt;0,"Жёлтый",IF(COUNTIF(J196:O196,"Не начат")&gt;0,"Не начат","Зелёный")))))</f>
        <v/>
      </c>
      <c r="Q196" s="50" t="n"/>
      <c r="R196" s="50" t="n"/>
      <c r="S196" s="50" t="n"/>
    </row>
    <row r="197" ht="15" customHeight="1" s="32">
      <c r="A197" s="50" t="n"/>
      <c r="B197" s="50" t="n"/>
      <c r="C197" s="50" t="n"/>
      <c r="D197" s="50" t="n"/>
      <c r="E197" s="51" t="n"/>
      <c r="F197" s="51" t="n"/>
      <c r="G197" s="52">
        <f>IF(E197="","",E197-TODAY())</f>
        <v/>
      </c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3">
        <f>IF(B197="","",IF(COUNTBLANK(J197:O197)=6,"",IF(COUNTIF(J197:O197,"Красный")&gt;0,"Красный",IF(COUNTIF(J197:O197,"Жёлтый")&gt;0,"Жёлтый",IF(COUNTIF(J197:O197,"Не начат")&gt;0,"Не начат","Зелёный")))))</f>
        <v/>
      </c>
      <c r="Q197" s="50" t="n"/>
      <c r="R197" s="50" t="n"/>
      <c r="S197" s="50" t="n"/>
    </row>
    <row r="198" ht="15" customHeight="1" s="32">
      <c r="A198" s="50" t="n"/>
      <c r="B198" s="50" t="n"/>
      <c r="C198" s="50" t="n"/>
      <c r="D198" s="50" t="n"/>
      <c r="E198" s="51" t="n"/>
      <c r="F198" s="51" t="n"/>
      <c r="G198" s="52">
        <f>IF(E198="","",E198-TODAY())</f>
        <v/>
      </c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3">
        <f>IF(B198="","",IF(COUNTBLANK(J198:O198)=6,"",IF(COUNTIF(J198:O198,"Красный")&gt;0,"Красный",IF(COUNTIF(J198:O198,"Жёлтый")&gt;0,"Жёлтый",IF(COUNTIF(J198:O198,"Не начат")&gt;0,"Не начат","Зелёный")))))</f>
        <v/>
      </c>
      <c r="Q198" s="50" t="n"/>
      <c r="R198" s="50" t="n"/>
      <c r="S198" s="50" t="n"/>
    </row>
    <row r="199" ht="15" customHeight="1" s="32">
      <c r="A199" s="50" t="n"/>
      <c r="B199" s="50" t="n"/>
      <c r="C199" s="50" t="n"/>
      <c r="D199" s="50" t="n"/>
      <c r="E199" s="51" t="n"/>
      <c r="F199" s="51" t="n"/>
      <c r="G199" s="52">
        <f>IF(E199="","",E199-TODAY())</f>
        <v/>
      </c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3">
        <f>IF(B199="","",IF(COUNTBLANK(J199:O199)=6,"",IF(COUNTIF(J199:O199,"Красный")&gt;0,"Красный",IF(COUNTIF(J199:O199,"Жёлтый")&gt;0,"Жёлтый",IF(COUNTIF(J199:O199,"Не начат")&gt;0,"Не начат","Зелёный")))))</f>
        <v/>
      </c>
      <c r="Q199" s="50" t="n"/>
      <c r="R199" s="50" t="n"/>
      <c r="S199" s="50" t="n"/>
    </row>
    <row r="200" ht="15" customHeight="1" s="32">
      <c r="A200" s="50" t="n"/>
      <c r="B200" s="50" t="n"/>
      <c r="C200" s="50" t="n"/>
      <c r="D200" s="50" t="n"/>
      <c r="E200" s="51" t="n"/>
      <c r="F200" s="51" t="n"/>
      <c r="G200" s="52">
        <f>IF(E200="","",E200-TODAY())</f>
        <v/>
      </c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3">
        <f>IF(B200="","",IF(COUNTBLANK(J200:O200)=6,"",IF(COUNTIF(J200:O200,"Красный")&gt;0,"Красный",IF(COUNTIF(J200:O200,"Жёлтый")&gt;0,"Жёлтый",IF(COUNTIF(J200:O200,"Не начат")&gt;0,"Не начат","Зелёный")))))</f>
        <v/>
      </c>
      <c r="Q200" s="50" t="n"/>
      <c r="R200" s="50" t="n"/>
      <c r="S200" s="50" t="n"/>
    </row>
    <row r="201" ht="15" customHeight="1" s="32">
      <c r="A201" s="50" t="n"/>
      <c r="B201" s="50" t="n"/>
      <c r="C201" s="50" t="n"/>
      <c r="D201" s="50" t="n"/>
      <c r="E201" s="51" t="n"/>
      <c r="F201" s="51" t="n"/>
      <c r="G201" s="52">
        <f>IF(E201="","",E201-TODAY())</f>
        <v/>
      </c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3">
        <f>IF(B201="","",IF(COUNTBLANK(J201:O201)=6,"",IF(COUNTIF(J201:O201,"Красный")&gt;0,"Красный",IF(COUNTIF(J201:O201,"Жёлтый")&gt;0,"Жёлтый",IF(COUNTIF(J201:O201,"Не начат")&gt;0,"Не начат","Зелёный")))))</f>
        <v/>
      </c>
      <c r="Q201" s="50" t="n"/>
      <c r="R201" s="50" t="n"/>
      <c r="S201" s="50" t="n"/>
    </row>
    <row r="202" ht="15" customHeight="1" s="32">
      <c r="A202" s="50" t="n"/>
      <c r="B202" s="50" t="n"/>
      <c r="C202" s="50" t="n"/>
      <c r="D202" s="50" t="n"/>
      <c r="E202" s="51" t="n"/>
      <c r="F202" s="51" t="n"/>
      <c r="G202" s="52">
        <f>IF(E202="","",E202-TODAY())</f>
        <v/>
      </c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3">
        <f>IF(B202="","",IF(COUNTBLANK(J202:O202)=6,"",IF(COUNTIF(J202:O202,"Красный")&gt;0,"Красный",IF(COUNTIF(J202:O202,"Жёлтый")&gt;0,"Жёлтый",IF(COUNTIF(J202:O202,"Не начат")&gt;0,"Не начат","Зелёный")))))</f>
        <v/>
      </c>
      <c r="Q202" s="50" t="n"/>
      <c r="R202" s="50" t="n"/>
      <c r="S202" s="50" t="n"/>
    </row>
    <row r="203" ht="15" customHeight="1" s="32">
      <c r="A203" s="50" t="n"/>
      <c r="B203" s="50" t="n"/>
      <c r="C203" s="50" t="n"/>
      <c r="D203" s="50" t="n"/>
      <c r="E203" s="51" t="n"/>
      <c r="F203" s="51" t="n"/>
      <c r="G203" s="52">
        <f>IF(E203="","",E203-TODAY())</f>
        <v/>
      </c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3">
        <f>IF(B203="","",IF(COUNTBLANK(J203:O203)=6,"",IF(COUNTIF(J203:O203,"Красный")&gt;0,"Красный",IF(COUNTIF(J203:O203,"Жёлтый")&gt;0,"Жёлтый",IF(COUNTIF(J203:O203,"Не начат")&gt;0,"Не начат","Зелёный")))))</f>
        <v/>
      </c>
      <c r="Q203" s="50" t="n"/>
      <c r="R203" s="50" t="n"/>
      <c r="S203" s="50" t="n"/>
    </row>
    <row r="204" ht="15" customHeight="1" s="32">
      <c r="A204" s="50" t="n"/>
      <c r="B204" s="50" t="n"/>
      <c r="C204" s="50" t="n"/>
      <c r="D204" s="50" t="n"/>
      <c r="E204" s="51" t="n"/>
      <c r="F204" s="51" t="n"/>
      <c r="G204" s="52">
        <f>IF(E204="","",E204-TODAY())</f>
        <v/>
      </c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3">
        <f>IF(B204="","",IF(COUNTBLANK(J204:O204)=6,"",IF(COUNTIF(J204:O204,"Красный")&gt;0,"Красный",IF(COUNTIF(J204:O204,"Жёлтый")&gt;0,"Жёлтый",IF(COUNTIF(J204:O204,"Не начат")&gt;0,"Не начат","Зелёный")))))</f>
        <v/>
      </c>
      <c r="Q204" s="50" t="n"/>
      <c r="R204" s="50" t="n"/>
      <c r="S204" s="50" t="n"/>
    </row>
    <row r="205" ht="15" customHeight="1" s="32">
      <c r="A205" s="50" t="n"/>
      <c r="B205" s="50" t="n"/>
      <c r="C205" s="50" t="n"/>
      <c r="D205" s="50" t="n"/>
      <c r="E205" s="51" t="n"/>
      <c r="F205" s="51" t="n"/>
      <c r="G205" s="52">
        <f>IF(E205="","",E205-TODAY())</f>
        <v/>
      </c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3">
        <f>IF(B205="","",IF(COUNTBLANK(J205:O205)=6,"",IF(COUNTIF(J205:O205,"Красный")&gt;0,"Красный",IF(COUNTIF(J205:O205,"Жёлтый")&gt;0,"Жёлтый",IF(COUNTIF(J205:O205,"Не начат")&gt;0,"Не начат","Зелёный")))))</f>
        <v/>
      </c>
      <c r="Q205" s="50" t="n"/>
      <c r="R205" s="50" t="n"/>
      <c r="S205" s="50" t="n"/>
    </row>
    <row r="206" ht="15" customHeight="1" s="32">
      <c r="A206" s="50" t="n"/>
      <c r="B206" s="50" t="n"/>
      <c r="C206" s="50" t="n"/>
      <c r="D206" s="50" t="n"/>
      <c r="E206" s="51" t="n"/>
      <c r="F206" s="51" t="n"/>
      <c r="G206" s="52">
        <f>IF(E206="","",E206-TODAY())</f>
        <v/>
      </c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3">
        <f>IF(B206="","",IF(COUNTBLANK(J206:O206)=6,"",IF(COUNTIF(J206:O206,"Красный")&gt;0,"Красный",IF(COUNTIF(J206:O206,"Жёлтый")&gt;0,"Жёлтый",IF(COUNTIF(J206:O206,"Не начат")&gt;0,"Не начат","Зелёный")))))</f>
        <v/>
      </c>
      <c r="Q206" s="50" t="n"/>
      <c r="R206" s="50" t="n"/>
      <c r="S206" s="50" t="n"/>
    </row>
    <row r="207" ht="15" customHeight="1" s="32">
      <c r="A207" s="50" t="n"/>
      <c r="B207" s="50" t="n"/>
      <c r="C207" s="50" t="n"/>
      <c r="D207" s="50" t="n"/>
      <c r="E207" s="51" t="n"/>
      <c r="F207" s="51" t="n"/>
      <c r="G207" s="52">
        <f>IF(E207="","",E207-TODAY())</f>
        <v/>
      </c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3">
        <f>IF(B207="","",IF(COUNTBLANK(J207:O207)=6,"",IF(COUNTIF(J207:O207,"Красный")&gt;0,"Красный",IF(COUNTIF(J207:O207,"Жёлтый")&gt;0,"Жёлтый",IF(COUNTIF(J207:O207,"Не начат")&gt;0,"Не начат","Зелёный")))))</f>
        <v/>
      </c>
      <c r="Q207" s="50" t="n"/>
      <c r="R207" s="50" t="n"/>
      <c r="S207" s="50" t="n"/>
    </row>
    <row r="208" ht="15" customHeight="1" s="32">
      <c r="A208" s="50" t="n"/>
      <c r="B208" s="50" t="n"/>
      <c r="C208" s="50" t="n"/>
      <c r="D208" s="50" t="n"/>
      <c r="E208" s="51" t="n"/>
      <c r="F208" s="51" t="n"/>
      <c r="G208" s="52">
        <f>IF(E208="","",E208-TODAY())</f>
        <v/>
      </c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3">
        <f>IF(B208="","",IF(COUNTBLANK(J208:O208)=6,"",IF(COUNTIF(J208:O208,"Красный")&gt;0,"Красный",IF(COUNTIF(J208:O208,"Жёлтый")&gt;0,"Жёлтый",IF(COUNTIF(J208:O208,"Не начат")&gt;0,"Не начат","Зелёный")))))</f>
        <v/>
      </c>
      <c r="Q208" s="50" t="n"/>
      <c r="R208" s="50" t="n"/>
      <c r="S208" s="50" t="n"/>
    </row>
    <row r="209" ht="15" customHeight="1" s="32">
      <c r="A209" s="50" t="n"/>
      <c r="B209" s="50" t="n"/>
      <c r="C209" s="50" t="n"/>
      <c r="D209" s="50" t="n"/>
      <c r="E209" s="51" t="n"/>
      <c r="F209" s="51" t="n"/>
      <c r="G209" s="52">
        <f>IF(E209="","",E209-TODAY())</f>
        <v/>
      </c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3">
        <f>IF(B209="","",IF(COUNTBLANK(J209:O209)=6,"",IF(COUNTIF(J209:O209,"Красный")&gt;0,"Красный",IF(COUNTIF(J209:O209,"Жёлтый")&gt;0,"Жёлтый",IF(COUNTIF(J209:O209,"Не начат")&gt;0,"Не начат","Зелёный")))))</f>
        <v/>
      </c>
      <c r="Q209" s="50" t="n"/>
      <c r="R209" s="50" t="n"/>
      <c r="S209" s="50" t="n"/>
    </row>
    <row r="210" ht="15" customHeight="1" s="32">
      <c r="A210" s="50" t="n"/>
      <c r="B210" s="50" t="n"/>
      <c r="C210" s="50" t="n"/>
      <c r="D210" s="50" t="n"/>
      <c r="E210" s="51" t="n"/>
      <c r="F210" s="51" t="n"/>
      <c r="G210" s="52">
        <f>IF(E210="","",E210-TODAY())</f>
        <v/>
      </c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3">
        <f>IF(B210="","",IF(COUNTBLANK(J210:O210)=6,"",IF(COUNTIF(J210:O210,"Красный")&gt;0,"Красный",IF(COUNTIF(J210:O210,"Жёлтый")&gt;0,"Жёлтый",IF(COUNTIF(J210:O210,"Не начат")&gt;0,"Не начат","Зелёный")))))</f>
        <v/>
      </c>
      <c r="Q210" s="50" t="n"/>
      <c r="R210" s="50" t="n"/>
      <c r="S210" s="50" t="n"/>
    </row>
    <row r="211" ht="15" customHeight="1" s="32">
      <c r="A211" s="50" t="n"/>
      <c r="B211" s="50" t="n"/>
      <c r="C211" s="50" t="n"/>
      <c r="D211" s="50" t="n"/>
      <c r="E211" s="51" t="n"/>
      <c r="F211" s="51" t="n"/>
      <c r="G211" s="52">
        <f>IF(E211="","",E211-TODAY())</f>
        <v/>
      </c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3">
        <f>IF(B211="","",IF(COUNTBLANK(J211:O211)=6,"",IF(COUNTIF(J211:O211,"Красный")&gt;0,"Красный",IF(COUNTIF(J211:O211,"Жёлтый")&gt;0,"Жёлтый",IF(COUNTIF(J211:O211,"Не начат")&gt;0,"Не начат","Зелёный")))))</f>
        <v/>
      </c>
      <c r="Q211" s="50" t="n"/>
      <c r="R211" s="50" t="n"/>
      <c r="S211" s="50" t="n"/>
    </row>
    <row r="212" ht="15" customHeight="1" s="32">
      <c r="A212" s="50" t="n"/>
      <c r="B212" s="50" t="n"/>
      <c r="C212" s="50" t="n"/>
      <c r="D212" s="50" t="n"/>
      <c r="E212" s="51" t="n"/>
      <c r="F212" s="51" t="n"/>
      <c r="G212" s="52">
        <f>IF(E212="","",E212-TODAY())</f>
        <v/>
      </c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3">
        <f>IF(B212="","",IF(COUNTBLANK(J212:O212)=6,"",IF(COUNTIF(J212:O212,"Красный")&gt;0,"Красный",IF(COUNTIF(J212:O212,"Жёлтый")&gt;0,"Жёлтый",IF(COUNTIF(J212:O212,"Не начат")&gt;0,"Не начат","Зелёный")))))</f>
        <v/>
      </c>
      <c r="Q212" s="50" t="n"/>
      <c r="R212" s="50" t="n"/>
      <c r="S212" s="50" t="n"/>
    </row>
    <row r="213" ht="15" customHeight="1" s="32">
      <c r="A213" s="50" t="n"/>
      <c r="B213" s="50" t="n"/>
      <c r="C213" s="50" t="n"/>
      <c r="D213" s="50" t="n"/>
      <c r="E213" s="51" t="n"/>
      <c r="F213" s="51" t="n"/>
      <c r="G213" s="52">
        <f>IF(E213="","",E213-TODAY())</f>
        <v/>
      </c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3">
        <f>IF(B213="","",IF(COUNTBLANK(J213:O213)=6,"",IF(COUNTIF(J213:O213,"Красный")&gt;0,"Красный",IF(COUNTIF(J213:O213,"Жёлтый")&gt;0,"Жёлтый",IF(COUNTIF(J213:O213,"Не начат")&gt;0,"Не начат","Зелёный")))))</f>
        <v/>
      </c>
      <c r="Q213" s="50" t="n"/>
      <c r="R213" s="50" t="n"/>
      <c r="S213" s="50" t="n"/>
    </row>
    <row r="214" ht="15" customHeight="1" s="32">
      <c r="A214" s="50" t="n"/>
      <c r="B214" s="50" t="n"/>
      <c r="C214" s="50" t="n"/>
      <c r="D214" s="50" t="n"/>
      <c r="E214" s="51" t="n"/>
      <c r="F214" s="51" t="n"/>
      <c r="G214" s="52">
        <f>IF(E214="","",E214-TODAY())</f>
        <v/>
      </c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3">
        <f>IF(B214="","",IF(COUNTBLANK(J214:O214)=6,"",IF(COUNTIF(J214:O214,"Красный")&gt;0,"Красный",IF(COUNTIF(J214:O214,"Жёлтый")&gt;0,"Жёлтый",IF(COUNTIF(J214:O214,"Не начат")&gt;0,"Не начат","Зелёный")))))</f>
        <v/>
      </c>
      <c r="Q214" s="50" t="n"/>
      <c r="R214" s="50" t="n"/>
      <c r="S214" s="50" t="n"/>
    </row>
    <row r="215" ht="15" customHeight="1" s="32">
      <c r="A215" s="50" t="n"/>
      <c r="B215" s="50" t="n"/>
      <c r="C215" s="50" t="n"/>
      <c r="D215" s="50" t="n"/>
      <c r="E215" s="51" t="n"/>
      <c r="F215" s="51" t="n"/>
      <c r="G215" s="52">
        <f>IF(E215="","",E215-TODAY())</f>
        <v/>
      </c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3">
        <f>IF(B215="","",IF(COUNTBLANK(J215:O215)=6,"",IF(COUNTIF(J215:O215,"Красный")&gt;0,"Красный",IF(COUNTIF(J215:O215,"Жёлтый")&gt;0,"Жёлтый",IF(COUNTIF(J215:O215,"Не начат")&gt;0,"Не начат","Зелёный")))))</f>
        <v/>
      </c>
      <c r="Q215" s="50" t="n"/>
      <c r="R215" s="50" t="n"/>
      <c r="S215" s="50" t="n"/>
    </row>
    <row r="216" ht="15" customHeight="1" s="32">
      <c r="A216" s="50" t="n"/>
      <c r="B216" s="50" t="n"/>
      <c r="C216" s="50" t="n"/>
      <c r="D216" s="50" t="n"/>
      <c r="E216" s="51" t="n"/>
      <c r="F216" s="51" t="n"/>
      <c r="G216" s="52">
        <f>IF(E216="","",E216-TODAY())</f>
        <v/>
      </c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3">
        <f>IF(B216="","",IF(COUNTBLANK(J216:O216)=6,"",IF(COUNTIF(J216:O216,"Красный")&gt;0,"Красный",IF(COUNTIF(J216:O216,"Жёлтый")&gt;0,"Жёлтый",IF(COUNTIF(J216:O216,"Не начат")&gt;0,"Не начат","Зелёный")))))</f>
        <v/>
      </c>
      <c r="Q216" s="50" t="n"/>
      <c r="R216" s="50" t="n"/>
      <c r="S216" s="50" t="n"/>
    </row>
    <row r="217" ht="15" customHeight="1" s="32">
      <c r="A217" s="50" t="n"/>
      <c r="B217" s="50" t="n"/>
      <c r="C217" s="50" t="n"/>
      <c r="D217" s="50" t="n"/>
      <c r="E217" s="51" t="n"/>
      <c r="F217" s="51" t="n"/>
      <c r="G217" s="52">
        <f>IF(E217="","",E217-TODAY())</f>
        <v/>
      </c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3">
        <f>IF(B217="","",IF(COUNTBLANK(J217:O217)=6,"",IF(COUNTIF(J217:O217,"Красный")&gt;0,"Красный",IF(COUNTIF(J217:O217,"Жёлтый")&gt;0,"Жёлтый",IF(COUNTIF(J217:O217,"Не начат")&gt;0,"Не начат","Зелёный")))))</f>
        <v/>
      </c>
      <c r="Q217" s="50" t="n"/>
      <c r="R217" s="50" t="n"/>
      <c r="S217" s="50" t="n"/>
    </row>
    <row r="218" ht="15" customHeight="1" s="32">
      <c r="A218" s="50" t="n"/>
      <c r="B218" s="50" t="n"/>
      <c r="C218" s="50" t="n"/>
      <c r="D218" s="50" t="n"/>
      <c r="E218" s="51" t="n"/>
      <c r="F218" s="51" t="n"/>
      <c r="G218" s="52">
        <f>IF(E218="","",E218-TODAY())</f>
        <v/>
      </c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3">
        <f>IF(B218="","",IF(COUNTBLANK(J218:O218)=6,"",IF(COUNTIF(J218:O218,"Красный")&gt;0,"Красный",IF(COUNTIF(J218:O218,"Жёлтый")&gt;0,"Жёлтый",IF(COUNTIF(J218:O218,"Не начат")&gt;0,"Не начат","Зелёный")))))</f>
        <v/>
      </c>
      <c r="Q218" s="50" t="n"/>
      <c r="R218" s="50" t="n"/>
      <c r="S218" s="50" t="n"/>
    </row>
    <row r="219" ht="15" customHeight="1" s="32">
      <c r="A219" s="50" t="n"/>
      <c r="B219" s="50" t="n"/>
      <c r="C219" s="50" t="n"/>
      <c r="D219" s="50" t="n"/>
      <c r="E219" s="51" t="n"/>
      <c r="F219" s="51" t="n"/>
      <c r="G219" s="52">
        <f>IF(E219="","",E219-TODAY())</f>
        <v/>
      </c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3">
        <f>IF(B219="","",IF(COUNTBLANK(J219:O219)=6,"",IF(COUNTIF(J219:O219,"Красный")&gt;0,"Красный",IF(COUNTIF(J219:O219,"Жёлтый")&gt;0,"Жёлтый",IF(COUNTIF(J219:O219,"Не начат")&gt;0,"Не начат","Зелёный")))))</f>
        <v/>
      </c>
      <c r="Q219" s="50" t="n"/>
      <c r="R219" s="50" t="n"/>
      <c r="S219" s="50" t="n"/>
    </row>
    <row r="220" ht="15" customHeight="1" s="32">
      <c r="A220" s="50" t="n"/>
      <c r="B220" s="50" t="n"/>
      <c r="C220" s="50" t="n"/>
      <c r="D220" s="50" t="n"/>
      <c r="E220" s="51" t="n"/>
      <c r="F220" s="51" t="n"/>
      <c r="G220" s="52">
        <f>IF(E220="","",E220-TODAY())</f>
        <v/>
      </c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3">
        <f>IF(B220="","",IF(COUNTBLANK(J220:O220)=6,"",IF(COUNTIF(J220:O220,"Красный")&gt;0,"Красный",IF(COUNTIF(J220:O220,"Жёлтый")&gt;0,"Жёлтый",IF(COUNTIF(J220:O220,"Не начат")&gt;0,"Не начат","Зелёный")))))</f>
        <v/>
      </c>
      <c r="Q220" s="50" t="n"/>
      <c r="R220" s="50" t="n"/>
      <c r="S220" s="50" t="n"/>
    </row>
    <row r="221" ht="15" customHeight="1" s="32">
      <c r="A221" s="50" t="n"/>
      <c r="B221" s="50" t="n"/>
      <c r="C221" s="50" t="n"/>
      <c r="D221" s="50" t="n"/>
      <c r="E221" s="51" t="n"/>
      <c r="F221" s="51" t="n"/>
      <c r="G221" s="52">
        <f>IF(E221="","",E221-TODAY())</f>
        <v/>
      </c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3">
        <f>IF(B221="","",IF(COUNTBLANK(J221:O221)=6,"",IF(COUNTIF(J221:O221,"Красный")&gt;0,"Красный",IF(COUNTIF(J221:O221,"Жёлтый")&gt;0,"Жёлтый",IF(COUNTIF(J221:O221,"Не начат")&gt;0,"Не начат","Зелёный")))))</f>
        <v/>
      </c>
      <c r="Q221" s="50" t="n"/>
      <c r="R221" s="50" t="n"/>
      <c r="S221" s="50" t="n"/>
    </row>
    <row r="222" ht="15" customHeight="1" s="32">
      <c r="A222" s="50" t="n"/>
      <c r="B222" s="50" t="n"/>
      <c r="C222" s="50" t="n"/>
      <c r="D222" s="50" t="n"/>
      <c r="E222" s="51" t="n"/>
      <c r="F222" s="51" t="n"/>
      <c r="G222" s="52">
        <f>IF(E222="","",E222-TODAY())</f>
        <v/>
      </c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3">
        <f>IF(B222="","",IF(COUNTBLANK(J222:O222)=6,"",IF(COUNTIF(J222:O222,"Красный")&gt;0,"Красный",IF(COUNTIF(J222:O222,"Жёлтый")&gt;0,"Жёлтый",IF(COUNTIF(J222:O222,"Не начат")&gt;0,"Не начат","Зелёный")))))</f>
        <v/>
      </c>
      <c r="Q222" s="50" t="n"/>
      <c r="R222" s="50" t="n"/>
      <c r="S222" s="50" t="n"/>
    </row>
    <row r="223" ht="15" customHeight="1" s="32">
      <c r="A223" s="50" t="n"/>
      <c r="B223" s="50" t="n"/>
      <c r="C223" s="50" t="n"/>
      <c r="D223" s="50" t="n"/>
      <c r="E223" s="51" t="n"/>
      <c r="F223" s="51" t="n"/>
      <c r="G223" s="52">
        <f>IF(E223="","",E223-TODAY())</f>
        <v/>
      </c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3">
        <f>IF(B223="","",IF(COUNTBLANK(J223:O223)=6,"",IF(COUNTIF(J223:O223,"Красный")&gt;0,"Красный",IF(COUNTIF(J223:O223,"Жёлтый")&gt;0,"Жёлтый",IF(COUNTIF(J223:O223,"Не начат")&gt;0,"Не начат","Зелёный")))))</f>
        <v/>
      </c>
      <c r="Q223" s="50" t="n"/>
      <c r="R223" s="50" t="n"/>
      <c r="S223" s="50" t="n"/>
    </row>
    <row r="224" ht="15" customHeight="1" s="32">
      <c r="A224" s="50" t="n"/>
      <c r="B224" s="50" t="n"/>
      <c r="C224" s="50" t="n"/>
      <c r="D224" s="50" t="n"/>
      <c r="E224" s="51" t="n"/>
      <c r="F224" s="51" t="n"/>
      <c r="G224" s="52">
        <f>IF(E224="","",E224-TODAY())</f>
        <v/>
      </c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3">
        <f>IF(B224="","",IF(COUNTBLANK(J224:O224)=6,"",IF(COUNTIF(J224:O224,"Красный")&gt;0,"Красный",IF(COUNTIF(J224:O224,"Жёлтый")&gt;0,"Жёлтый",IF(COUNTIF(J224:O224,"Не начат")&gt;0,"Не начат","Зелёный")))))</f>
        <v/>
      </c>
      <c r="Q224" s="50" t="n"/>
      <c r="R224" s="50" t="n"/>
      <c r="S224" s="50" t="n"/>
    </row>
    <row r="225" ht="15" customHeight="1" s="32">
      <c r="A225" s="50" t="n"/>
      <c r="B225" s="50" t="n"/>
      <c r="C225" s="50" t="n"/>
      <c r="D225" s="50" t="n"/>
      <c r="E225" s="51" t="n"/>
      <c r="F225" s="51" t="n"/>
      <c r="G225" s="52">
        <f>IF(E225="","",E225-TODAY())</f>
        <v/>
      </c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3">
        <f>IF(B225="","",IF(COUNTBLANK(J225:O225)=6,"",IF(COUNTIF(J225:O225,"Красный")&gt;0,"Красный",IF(COUNTIF(J225:O225,"Жёлтый")&gt;0,"Жёлтый",IF(COUNTIF(J225:O225,"Не начат")&gt;0,"Не начат","Зелёный")))))</f>
        <v/>
      </c>
      <c r="Q225" s="50" t="n"/>
      <c r="R225" s="50" t="n"/>
      <c r="S225" s="50" t="n"/>
    </row>
    <row r="226" ht="15" customHeight="1" s="32">
      <c r="A226" s="50" t="n"/>
      <c r="B226" s="50" t="n"/>
      <c r="C226" s="50" t="n"/>
      <c r="D226" s="50" t="n"/>
      <c r="E226" s="51" t="n"/>
      <c r="F226" s="51" t="n"/>
      <c r="G226" s="52">
        <f>IF(E226="","",E226-TODAY())</f>
        <v/>
      </c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3">
        <f>IF(B226="","",IF(COUNTBLANK(J226:O226)=6,"",IF(COUNTIF(J226:O226,"Красный")&gt;0,"Красный",IF(COUNTIF(J226:O226,"Жёлтый")&gt;0,"Жёлтый",IF(COUNTIF(J226:O226,"Не начат")&gt;0,"Не начат","Зелёный")))))</f>
        <v/>
      </c>
      <c r="Q226" s="50" t="n"/>
      <c r="R226" s="50" t="n"/>
      <c r="S226" s="50" t="n"/>
    </row>
    <row r="227" ht="15" customHeight="1" s="32">
      <c r="A227" s="50" t="n"/>
      <c r="B227" s="50" t="n"/>
      <c r="C227" s="50" t="n"/>
      <c r="D227" s="50" t="n"/>
      <c r="E227" s="51" t="n"/>
      <c r="F227" s="51" t="n"/>
      <c r="G227" s="52">
        <f>IF(E227="","",E227-TODAY())</f>
        <v/>
      </c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3">
        <f>IF(B227="","",IF(COUNTBLANK(J227:O227)=6,"",IF(COUNTIF(J227:O227,"Красный")&gt;0,"Красный",IF(COUNTIF(J227:O227,"Жёлтый")&gt;0,"Жёлтый",IF(COUNTIF(J227:O227,"Не начат")&gt;0,"Не начат","Зелёный")))))</f>
        <v/>
      </c>
      <c r="Q227" s="50" t="n"/>
      <c r="R227" s="50" t="n"/>
      <c r="S227" s="50" t="n"/>
    </row>
    <row r="228" ht="15" customHeight="1" s="32">
      <c r="A228" s="50" t="n"/>
      <c r="B228" s="50" t="n"/>
      <c r="C228" s="50" t="n"/>
      <c r="D228" s="50" t="n"/>
      <c r="E228" s="51" t="n"/>
      <c r="F228" s="51" t="n"/>
      <c r="G228" s="52">
        <f>IF(E228="","",E228-TODAY())</f>
        <v/>
      </c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3">
        <f>IF(B228="","",IF(COUNTBLANK(J228:O228)=6,"",IF(COUNTIF(J228:O228,"Красный")&gt;0,"Красный",IF(COUNTIF(J228:O228,"Жёлтый")&gt;0,"Жёлтый",IF(COUNTIF(J228:O228,"Не начат")&gt;0,"Не начат","Зелёный")))))</f>
        <v/>
      </c>
      <c r="Q228" s="50" t="n"/>
      <c r="R228" s="50" t="n"/>
      <c r="S228" s="50" t="n"/>
    </row>
    <row r="229" ht="15" customHeight="1" s="32">
      <c r="A229" s="50" t="n"/>
      <c r="B229" s="50" t="n"/>
      <c r="C229" s="50" t="n"/>
      <c r="D229" s="50" t="n"/>
      <c r="E229" s="51" t="n"/>
      <c r="F229" s="51" t="n"/>
      <c r="G229" s="52">
        <f>IF(E229="","",E229-TODAY())</f>
        <v/>
      </c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3">
        <f>IF(B229="","",IF(COUNTBLANK(J229:O229)=6,"",IF(COUNTIF(J229:O229,"Красный")&gt;0,"Красный",IF(COUNTIF(J229:O229,"Жёлтый")&gt;0,"Жёлтый",IF(COUNTIF(J229:O229,"Не начат")&gt;0,"Не начат","Зелёный")))))</f>
        <v/>
      </c>
      <c r="Q229" s="50" t="n"/>
      <c r="R229" s="50" t="n"/>
      <c r="S229" s="50" t="n"/>
    </row>
    <row r="230" ht="15" customHeight="1" s="32">
      <c r="A230" s="50" t="n"/>
      <c r="B230" s="50" t="n"/>
      <c r="C230" s="50" t="n"/>
      <c r="D230" s="50" t="n"/>
      <c r="E230" s="51" t="n"/>
      <c r="F230" s="51" t="n"/>
      <c r="G230" s="52">
        <f>IF(E230="","",E230-TODAY())</f>
        <v/>
      </c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3">
        <f>IF(B230="","",IF(COUNTBLANK(J230:O230)=6,"",IF(COUNTIF(J230:O230,"Красный")&gt;0,"Красный",IF(COUNTIF(J230:O230,"Жёлтый")&gt;0,"Жёлтый",IF(COUNTIF(J230:O230,"Не начат")&gt;0,"Не начат","Зелёный")))))</f>
        <v/>
      </c>
      <c r="Q230" s="50" t="n"/>
      <c r="R230" s="50" t="n"/>
      <c r="S230" s="50" t="n"/>
    </row>
    <row r="231" ht="15" customHeight="1" s="32">
      <c r="A231" s="50" t="n"/>
      <c r="B231" s="50" t="n"/>
      <c r="C231" s="50" t="n"/>
      <c r="D231" s="50" t="n"/>
      <c r="E231" s="51" t="n"/>
      <c r="F231" s="51" t="n"/>
      <c r="G231" s="52">
        <f>IF(E231="","",E231-TODAY())</f>
        <v/>
      </c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3">
        <f>IF(B231="","",IF(COUNTBLANK(J231:O231)=6,"",IF(COUNTIF(J231:O231,"Красный")&gt;0,"Красный",IF(COUNTIF(J231:O231,"Жёлтый")&gt;0,"Жёлтый",IF(COUNTIF(J231:O231,"Не начат")&gt;0,"Не начат","Зелёный")))))</f>
        <v/>
      </c>
      <c r="Q231" s="50" t="n"/>
      <c r="R231" s="50" t="n"/>
      <c r="S231" s="50" t="n"/>
    </row>
    <row r="232" ht="15" customHeight="1" s="32">
      <c r="A232" s="50" t="n"/>
      <c r="B232" s="50" t="n"/>
      <c r="C232" s="50" t="n"/>
      <c r="D232" s="50" t="n"/>
      <c r="E232" s="51" t="n"/>
      <c r="F232" s="51" t="n"/>
      <c r="G232" s="52">
        <f>IF(E232="","",E232-TODAY())</f>
        <v/>
      </c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3">
        <f>IF(B232="","",IF(COUNTBLANK(J232:O232)=6,"",IF(COUNTIF(J232:O232,"Красный")&gt;0,"Красный",IF(COUNTIF(J232:O232,"Жёлтый")&gt;0,"Жёлтый",IF(COUNTIF(J232:O232,"Не начат")&gt;0,"Не начат","Зелёный")))))</f>
        <v/>
      </c>
      <c r="Q232" s="50" t="n"/>
      <c r="R232" s="50" t="n"/>
      <c r="S232" s="50" t="n"/>
    </row>
    <row r="233" ht="15" customHeight="1" s="32">
      <c r="A233" s="50" t="n"/>
      <c r="B233" s="50" t="n"/>
      <c r="C233" s="50" t="n"/>
      <c r="D233" s="50" t="n"/>
      <c r="E233" s="51" t="n"/>
      <c r="F233" s="51" t="n"/>
      <c r="G233" s="52">
        <f>IF(E233="","",E233-TODAY())</f>
        <v/>
      </c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3">
        <f>IF(B233="","",IF(COUNTBLANK(J233:O233)=6,"",IF(COUNTIF(J233:O233,"Красный")&gt;0,"Красный",IF(COUNTIF(J233:O233,"Жёлтый")&gt;0,"Жёлтый",IF(COUNTIF(J233:O233,"Не начат")&gt;0,"Не начат","Зелёный")))))</f>
        <v/>
      </c>
      <c r="Q233" s="50" t="n"/>
      <c r="R233" s="50" t="n"/>
      <c r="S233" s="50" t="n"/>
    </row>
    <row r="234" ht="15" customHeight="1" s="32">
      <c r="A234" s="50" t="n"/>
      <c r="B234" s="50" t="n"/>
      <c r="C234" s="50" t="n"/>
      <c r="D234" s="50" t="n"/>
      <c r="E234" s="51" t="n"/>
      <c r="F234" s="51" t="n"/>
      <c r="G234" s="52">
        <f>IF(E234="","",E234-TODAY())</f>
        <v/>
      </c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3">
        <f>IF(B234="","",IF(COUNTBLANK(J234:O234)=6,"",IF(COUNTIF(J234:O234,"Красный")&gt;0,"Красный",IF(COUNTIF(J234:O234,"Жёлтый")&gt;0,"Жёлтый",IF(COUNTIF(J234:O234,"Не начат")&gt;0,"Не начат","Зелёный")))))</f>
        <v/>
      </c>
      <c r="Q234" s="50" t="n"/>
      <c r="R234" s="50" t="n"/>
      <c r="S234" s="50" t="n"/>
    </row>
    <row r="235" ht="15" customHeight="1" s="32">
      <c r="A235" s="50" t="n"/>
      <c r="B235" s="50" t="n"/>
      <c r="C235" s="50" t="n"/>
      <c r="D235" s="50" t="n"/>
      <c r="E235" s="51" t="n"/>
      <c r="F235" s="51" t="n"/>
      <c r="G235" s="52">
        <f>IF(E235="","",E235-TODAY())</f>
        <v/>
      </c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3">
        <f>IF(B235="","",IF(COUNTBLANK(J235:O235)=6,"",IF(COUNTIF(J235:O235,"Красный")&gt;0,"Красный",IF(COUNTIF(J235:O235,"Жёлтый")&gt;0,"Жёлтый",IF(COUNTIF(J235:O235,"Не начат")&gt;0,"Не начат","Зелёный")))))</f>
        <v/>
      </c>
      <c r="Q235" s="50" t="n"/>
      <c r="R235" s="50" t="n"/>
      <c r="S235" s="50" t="n"/>
    </row>
    <row r="236" ht="15" customHeight="1" s="32">
      <c r="A236" s="50" t="n"/>
      <c r="B236" s="50" t="n"/>
      <c r="C236" s="50" t="n"/>
      <c r="D236" s="50" t="n"/>
      <c r="E236" s="51" t="n"/>
      <c r="F236" s="51" t="n"/>
      <c r="G236" s="52">
        <f>IF(E236="","",E236-TODAY())</f>
        <v/>
      </c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3">
        <f>IF(B236="","",IF(COUNTBLANK(J236:O236)=6,"",IF(COUNTIF(J236:O236,"Красный")&gt;0,"Красный",IF(COUNTIF(J236:O236,"Жёлтый")&gt;0,"Жёлтый",IF(COUNTIF(J236:O236,"Не начат")&gt;0,"Не начат","Зелёный")))))</f>
        <v/>
      </c>
      <c r="Q236" s="50" t="n"/>
      <c r="R236" s="50" t="n"/>
      <c r="S236" s="50" t="n"/>
    </row>
    <row r="237" ht="15" customHeight="1" s="32">
      <c r="A237" s="50" t="n"/>
      <c r="B237" s="50" t="n"/>
      <c r="C237" s="50" t="n"/>
      <c r="D237" s="50" t="n"/>
      <c r="E237" s="51" t="n"/>
      <c r="F237" s="51" t="n"/>
      <c r="G237" s="52">
        <f>IF(E237="","",E237-TODAY())</f>
        <v/>
      </c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3">
        <f>IF(B237="","",IF(COUNTBLANK(J237:O237)=6,"",IF(COUNTIF(J237:O237,"Красный")&gt;0,"Красный",IF(COUNTIF(J237:O237,"Жёлтый")&gt;0,"Жёлтый",IF(COUNTIF(J237:O237,"Не начат")&gt;0,"Не начат","Зелёный")))))</f>
        <v/>
      </c>
      <c r="Q237" s="50" t="n"/>
      <c r="R237" s="50" t="n"/>
      <c r="S237" s="50" t="n"/>
    </row>
    <row r="238" ht="15" customHeight="1" s="32">
      <c r="A238" s="50" t="n"/>
      <c r="B238" s="50" t="n"/>
      <c r="C238" s="50" t="n"/>
      <c r="D238" s="50" t="n"/>
      <c r="E238" s="51" t="n"/>
      <c r="F238" s="51" t="n"/>
      <c r="G238" s="52">
        <f>IF(E238="","",E238-TODAY())</f>
        <v/>
      </c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3">
        <f>IF(B238="","",IF(COUNTBLANK(J238:O238)=6,"",IF(COUNTIF(J238:O238,"Красный")&gt;0,"Красный",IF(COUNTIF(J238:O238,"Жёлтый")&gt;0,"Жёлтый",IF(COUNTIF(J238:O238,"Не начат")&gt;0,"Не начат","Зелёный")))))</f>
        <v/>
      </c>
      <c r="Q238" s="50" t="n"/>
      <c r="R238" s="50" t="n"/>
      <c r="S238" s="50" t="n"/>
    </row>
    <row r="239" ht="15" customHeight="1" s="32">
      <c r="A239" s="50" t="n"/>
      <c r="B239" s="50" t="n"/>
      <c r="C239" s="50" t="n"/>
      <c r="D239" s="50" t="n"/>
      <c r="E239" s="51" t="n"/>
      <c r="F239" s="51" t="n"/>
      <c r="G239" s="52">
        <f>IF(E239="","",E239-TODAY())</f>
        <v/>
      </c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3">
        <f>IF(B239="","",IF(COUNTBLANK(J239:O239)=6,"",IF(COUNTIF(J239:O239,"Красный")&gt;0,"Красный",IF(COUNTIF(J239:O239,"Жёлтый")&gt;0,"Жёлтый",IF(COUNTIF(J239:O239,"Не начат")&gt;0,"Не начат","Зелёный")))))</f>
        <v/>
      </c>
      <c r="Q239" s="50" t="n"/>
      <c r="R239" s="50" t="n"/>
      <c r="S239" s="50" t="n"/>
    </row>
    <row r="240" ht="15" customHeight="1" s="32">
      <c r="A240" s="50" t="n"/>
      <c r="B240" s="50" t="n"/>
      <c r="C240" s="50" t="n"/>
      <c r="D240" s="50" t="n"/>
      <c r="E240" s="51" t="n"/>
      <c r="F240" s="51" t="n"/>
      <c r="G240" s="52">
        <f>IF(E240="","",E240-TODAY())</f>
        <v/>
      </c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3">
        <f>IF(B240="","",IF(COUNTBLANK(J240:O240)=6,"",IF(COUNTIF(J240:O240,"Красный")&gt;0,"Красный",IF(COUNTIF(J240:O240,"Жёлтый")&gt;0,"Жёлтый",IF(COUNTIF(J240:O240,"Не начат")&gt;0,"Не начат","Зелёный")))))</f>
        <v/>
      </c>
      <c r="Q240" s="50" t="n"/>
      <c r="R240" s="50" t="n"/>
      <c r="S240" s="50" t="n"/>
    </row>
    <row r="241" ht="15" customHeight="1" s="32">
      <c r="A241" s="50" t="n"/>
      <c r="B241" s="50" t="n"/>
      <c r="C241" s="50" t="n"/>
      <c r="D241" s="50" t="n"/>
      <c r="E241" s="51" t="n"/>
      <c r="F241" s="51" t="n"/>
      <c r="G241" s="52">
        <f>IF(E241="","",E241-TODAY())</f>
        <v/>
      </c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3">
        <f>IF(B241="","",IF(COUNTBLANK(J241:O241)=6,"",IF(COUNTIF(J241:O241,"Красный")&gt;0,"Красный",IF(COUNTIF(J241:O241,"Жёлтый")&gt;0,"Жёлтый",IF(COUNTIF(J241:O241,"Не начат")&gt;0,"Не начат","Зелёный")))))</f>
        <v/>
      </c>
      <c r="Q241" s="50" t="n"/>
      <c r="R241" s="50" t="n"/>
      <c r="S241" s="50" t="n"/>
    </row>
    <row r="242" ht="15" customHeight="1" s="32">
      <c r="A242" s="50" t="n"/>
      <c r="B242" s="50" t="n"/>
      <c r="C242" s="50" t="n"/>
      <c r="D242" s="50" t="n"/>
      <c r="E242" s="51" t="n"/>
      <c r="F242" s="51" t="n"/>
      <c r="G242" s="52">
        <f>IF(E242="","",E242-TODAY())</f>
        <v/>
      </c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3">
        <f>IF(B242="","",IF(COUNTBLANK(J242:O242)=6,"",IF(COUNTIF(J242:O242,"Красный")&gt;0,"Красный",IF(COUNTIF(J242:O242,"Жёлтый")&gt;0,"Жёлтый",IF(COUNTIF(J242:O242,"Не начат")&gt;0,"Не начат","Зелёный")))))</f>
        <v/>
      </c>
      <c r="Q242" s="50" t="n"/>
      <c r="R242" s="50" t="n"/>
      <c r="S242" s="50" t="n"/>
    </row>
    <row r="243" ht="15" customHeight="1" s="32">
      <c r="A243" s="50" t="n"/>
      <c r="B243" s="50" t="n"/>
      <c r="C243" s="50" t="n"/>
      <c r="D243" s="50" t="n"/>
      <c r="E243" s="51" t="n"/>
      <c r="F243" s="51" t="n"/>
      <c r="G243" s="52">
        <f>IF(E243="","",E243-TODAY())</f>
        <v/>
      </c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3">
        <f>IF(B243="","",IF(COUNTBLANK(J243:O243)=6,"",IF(COUNTIF(J243:O243,"Красный")&gt;0,"Красный",IF(COUNTIF(J243:O243,"Жёлтый")&gt;0,"Жёлтый",IF(COUNTIF(J243:O243,"Не начат")&gt;0,"Не начат","Зелёный")))))</f>
        <v/>
      </c>
      <c r="Q243" s="50" t="n"/>
      <c r="R243" s="50" t="n"/>
      <c r="S243" s="50" t="n"/>
    </row>
    <row r="244" ht="15" customHeight="1" s="32">
      <c r="A244" s="50" t="n"/>
      <c r="B244" s="50" t="n"/>
      <c r="C244" s="50" t="n"/>
      <c r="D244" s="50" t="n"/>
      <c r="E244" s="51" t="n"/>
      <c r="F244" s="51" t="n"/>
      <c r="G244" s="52">
        <f>IF(E244="","",E244-TODAY())</f>
        <v/>
      </c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3">
        <f>IF(B244="","",IF(COUNTBLANK(J244:O244)=6,"",IF(COUNTIF(J244:O244,"Красный")&gt;0,"Красный",IF(COUNTIF(J244:O244,"Жёлтый")&gt;0,"Жёлтый",IF(COUNTIF(J244:O244,"Не начат")&gt;0,"Не начат","Зелёный")))))</f>
        <v/>
      </c>
      <c r="Q244" s="50" t="n"/>
      <c r="R244" s="50" t="n"/>
      <c r="S244" s="50" t="n"/>
    </row>
    <row r="245" ht="15" customHeight="1" s="32">
      <c r="A245" s="50" t="n"/>
      <c r="B245" s="50" t="n"/>
      <c r="C245" s="50" t="n"/>
      <c r="D245" s="50" t="n"/>
      <c r="E245" s="51" t="n"/>
      <c r="F245" s="51" t="n"/>
      <c r="G245" s="52">
        <f>IF(E245="","",E245-TODAY())</f>
        <v/>
      </c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3">
        <f>IF(B245="","",IF(COUNTBLANK(J245:O245)=6,"",IF(COUNTIF(J245:O245,"Красный")&gt;0,"Красный",IF(COUNTIF(J245:O245,"Жёлтый")&gt;0,"Жёлтый",IF(COUNTIF(J245:O245,"Не начат")&gt;0,"Не начат","Зелёный")))))</f>
        <v/>
      </c>
      <c r="Q245" s="50" t="n"/>
      <c r="R245" s="50" t="n"/>
      <c r="S245" s="50" t="n"/>
    </row>
    <row r="246" ht="15" customHeight="1" s="32">
      <c r="A246" s="50" t="n"/>
      <c r="B246" s="50" t="n"/>
      <c r="C246" s="50" t="n"/>
      <c r="D246" s="50" t="n"/>
      <c r="E246" s="51" t="n"/>
      <c r="F246" s="51" t="n"/>
      <c r="G246" s="52">
        <f>IF(E246="","",E246-TODAY())</f>
        <v/>
      </c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3">
        <f>IF(B246="","",IF(COUNTBLANK(J246:O246)=6,"",IF(COUNTIF(J246:O246,"Красный")&gt;0,"Красный",IF(COUNTIF(J246:O246,"Жёлтый")&gt;0,"Жёлтый",IF(COUNTIF(J246:O246,"Не начат")&gt;0,"Не начат","Зелёный")))))</f>
        <v/>
      </c>
      <c r="Q246" s="50" t="n"/>
      <c r="R246" s="50" t="n"/>
      <c r="S246" s="50" t="n"/>
    </row>
    <row r="247" ht="15" customHeight="1" s="32">
      <c r="A247" s="50" t="n"/>
      <c r="B247" s="50" t="n"/>
      <c r="C247" s="50" t="n"/>
      <c r="D247" s="50" t="n"/>
      <c r="E247" s="51" t="n"/>
      <c r="F247" s="51" t="n"/>
      <c r="G247" s="52">
        <f>IF(E247="","",E247-TODAY())</f>
        <v/>
      </c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3">
        <f>IF(B247="","",IF(COUNTBLANK(J247:O247)=6,"",IF(COUNTIF(J247:O247,"Красный")&gt;0,"Красный",IF(COUNTIF(J247:O247,"Жёлтый")&gt;0,"Жёлтый",IF(COUNTIF(J247:O247,"Не начат")&gt;0,"Не начат","Зелёный")))))</f>
        <v/>
      </c>
      <c r="Q247" s="50" t="n"/>
      <c r="R247" s="50" t="n"/>
      <c r="S247" s="50" t="n"/>
    </row>
    <row r="248" ht="15" customHeight="1" s="32">
      <c r="A248" s="50" t="n"/>
      <c r="B248" s="50" t="n"/>
      <c r="C248" s="50" t="n"/>
      <c r="D248" s="50" t="n"/>
      <c r="E248" s="51" t="n"/>
      <c r="F248" s="51" t="n"/>
      <c r="G248" s="52">
        <f>IF(E248="","",E248-TODAY())</f>
        <v/>
      </c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3">
        <f>IF(B248="","",IF(COUNTBLANK(J248:O248)=6,"",IF(COUNTIF(J248:O248,"Красный")&gt;0,"Красный",IF(COUNTIF(J248:O248,"Жёлтый")&gt;0,"Жёлтый",IF(COUNTIF(J248:O248,"Не начат")&gt;0,"Не начат","Зелёный")))))</f>
        <v/>
      </c>
      <c r="Q248" s="50" t="n"/>
      <c r="R248" s="50" t="n"/>
      <c r="S248" s="50" t="n"/>
    </row>
    <row r="249" ht="15" customHeight="1" s="32">
      <c r="A249" s="50" t="n"/>
      <c r="B249" s="50" t="n"/>
      <c r="C249" s="50" t="n"/>
      <c r="D249" s="50" t="n"/>
      <c r="E249" s="51" t="n"/>
      <c r="F249" s="51" t="n"/>
      <c r="G249" s="52">
        <f>IF(E249="","",E249-TODAY())</f>
        <v/>
      </c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3">
        <f>IF(B249="","",IF(COUNTBLANK(J249:O249)=6,"",IF(COUNTIF(J249:O249,"Красный")&gt;0,"Красный",IF(COUNTIF(J249:O249,"Жёлтый")&gt;0,"Жёлтый",IF(COUNTIF(J249:O249,"Не начат")&gt;0,"Не начат","Зелёный")))))</f>
        <v/>
      </c>
      <c r="Q249" s="50" t="n"/>
      <c r="R249" s="50" t="n"/>
      <c r="S249" s="50" t="n"/>
    </row>
    <row r="250" ht="15" customHeight="1" s="32">
      <c r="A250" s="50" t="n"/>
      <c r="B250" s="50" t="n"/>
      <c r="C250" s="50" t="n"/>
      <c r="D250" s="50" t="n"/>
      <c r="E250" s="51" t="n"/>
      <c r="F250" s="51" t="n"/>
      <c r="G250" s="52">
        <f>IF(E250="","",E250-TODAY())</f>
        <v/>
      </c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3">
        <f>IF(B250="","",IF(COUNTBLANK(J250:O250)=6,"",IF(COUNTIF(J250:O250,"Красный")&gt;0,"Красный",IF(COUNTIF(J250:O250,"Жёлтый")&gt;0,"Жёлтый",IF(COUNTIF(J250:O250,"Не начат")&gt;0,"Не начат","Зелёный")))))</f>
        <v/>
      </c>
      <c r="Q250" s="50" t="n"/>
      <c r="R250" s="50" t="n"/>
      <c r="S250" s="50" t="n"/>
    </row>
    <row r="251" ht="15" customHeight="1" s="32">
      <c r="A251" s="50" t="n"/>
      <c r="B251" s="50" t="n"/>
      <c r="C251" s="50" t="n"/>
      <c r="D251" s="50" t="n"/>
      <c r="E251" s="51" t="n"/>
      <c r="F251" s="51" t="n"/>
      <c r="G251" s="52">
        <f>IF(E251="","",E251-TODAY())</f>
        <v/>
      </c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3">
        <f>IF(B251="","",IF(COUNTBLANK(J251:O251)=6,"",IF(COUNTIF(J251:O251,"Красный")&gt;0,"Красный",IF(COUNTIF(J251:O251,"Жёлтый")&gt;0,"Жёлтый",IF(COUNTIF(J251:O251,"Не начат")&gt;0,"Не начат","Зелёный")))))</f>
        <v/>
      </c>
      <c r="Q251" s="50" t="n"/>
      <c r="R251" s="50" t="n"/>
      <c r="S251" s="50" t="n"/>
    </row>
    <row r="252" ht="15" customHeight="1" s="32">
      <c r="A252" s="50" t="n"/>
      <c r="B252" s="50" t="n"/>
      <c r="C252" s="50" t="n"/>
      <c r="D252" s="50" t="n"/>
      <c r="E252" s="51" t="n"/>
      <c r="F252" s="51" t="n"/>
      <c r="G252" s="52">
        <f>IF(E252="","",E252-TODAY())</f>
        <v/>
      </c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3">
        <f>IF(B252="","",IF(COUNTBLANK(J252:O252)=6,"",IF(COUNTIF(J252:O252,"Красный")&gt;0,"Красный",IF(COUNTIF(J252:O252,"Жёлтый")&gt;0,"Жёлтый",IF(COUNTIF(J252:O252,"Не начат")&gt;0,"Не начат","Зелёный")))))</f>
        <v/>
      </c>
      <c r="Q252" s="50" t="n"/>
      <c r="R252" s="50" t="n"/>
      <c r="S252" s="50" t="n"/>
    </row>
    <row r="253" ht="15" customHeight="1" s="32">
      <c r="A253" s="50" t="n"/>
      <c r="B253" s="50" t="n"/>
      <c r="C253" s="50" t="n"/>
      <c r="D253" s="50" t="n"/>
      <c r="E253" s="51" t="n"/>
      <c r="F253" s="51" t="n"/>
      <c r="G253" s="52">
        <f>IF(E253="","",E253-TODAY())</f>
        <v/>
      </c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3">
        <f>IF(B253="","",IF(COUNTBLANK(J253:O253)=6,"",IF(COUNTIF(J253:O253,"Красный")&gt;0,"Красный",IF(COUNTIF(J253:O253,"Жёлтый")&gt;0,"Жёлтый",IF(COUNTIF(J253:O253,"Не начат")&gt;0,"Не начат","Зелёный")))))</f>
        <v/>
      </c>
      <c r="Q253" s="50" t="n"/>
      <c r="R253" s="50" t="n"/>
      <c r="S253" s="50" t="n"/>
    </row>
    <row r="254" ht="15" customHeight="1" s="32">
      <c r="A254" s="50" t="n"/>
      <c r="B254" s="50" t="n"/>
      <c r="C254" s="50" t="n"/>
      <c r="D254" s="50" t="n"/>
      <c r="E254" s="51" t="n"/>
      <c r="F254" s="51" t="n"/>
      <c r="G254" s="52">
        <f>IF(E254="","",E254-TODAY())</f>
        <v/>
      </c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3">
        <f>IF(B254="","",IF(COUNTBLANK(J254:O254)=6,"",IF(COUNTIF(J254:O254,"Красный")&gt;0,"Красный",IF(COUNTIF(J254:O254,"Жёлтый")&gt;0,"Жёлтый",IF(COUNTIF(J254:O254,"Не начат")&gt;0,"Не начат","Зелёный")))))</f>
        <v/>
      </c>
      <c r="Q254" s="50" t="n"/>
      <c r="R254" s="50" t="n"/>
      <c r="S254" s="50" t="n"/>
    </row>
    <row r="255" ht="15" customHeight="1" s="32">
      <c r="A255" s="50" t="n"/>
      <c r="B255" s="50" t="n"/>
      <c r="C255" s="50" t="n"/>
      <c r="D255" s="50" t="n"/>
      <c r="E255" s="51" t="n"/>
      <c r="F255" s="51" t="n"/>
      <c r="G255" s="52">
        <f>IF(E255="","",E255-TODAY())</f>
        <v/>
      </c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3">
        <f>IF(B255="","",IF(COUNTBLANK(J255:O255)=6,"",IF(COUNTIF(J255:O255,"Красный")&gt;0,"Красный",IF(COUNTIF(J255:O255,"Жёлтый")&gt;0,"Жёлтый",IF(COUNTIF(J255:O255,"Не начат")&gt;0,"Не начат","Зелёный")))))</f>
        <v/>
      </c>
      <c r="Q255" s="50" t="n"/>
      <c r="R255" s="50" t="n"/>
      <c r="S255" s="50" t="n"/>
    </row>
    <row r="256" ht="15" customHeight="1" s="32">
      <c r="A256" s="50" t="n"/>
      <c r="B256" s="50" t="n"/>
      <c r="C256" s="50" t="n"/>
      <c r="D256" s="50" t="n"/>
      <c r="E256" s="51" t="n"/>
      <c r="F256" s="51" t="n"/>
      <c r="G256" s="52">
        <f>IF(E256="","",E256-TODAY())</f>
        <v/>
      </c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3">
        <f>IF(B256="","",IF(COUNTBLANK(J256:O256)=6,"",IF(COUNTIF(J256:O256,"Красный")&gt;0,"Красный",IF(COUNTIF(J256:O256,"Жёлтый")&gt;0,"Жёлтый",IF(COUNTIF(J256:O256,"Не начат")&gt;0,"Не начат","Зелёный")))))</f>
        <v/>
      </c>
      <c r="Q256" s="50" t="n"/>
      <c r="R256" s="50" t="n"/>
      <c r="S256" s="50" t="n"/>
    </row>
    <row r="257" ht="15" customHeight="1" s="32">
      <c r="A257" s="50" t="n"/>
      <c r="B257" s="50" t="n"/>
      <c r="C257" s="50" t="n"/>
      <c r="D257" s="50" t="n"/>
      <c r="E257" s="51" t="n"/>
      <c r="F257" s="51" t="n"/>
      <c r="G257" s="52">
        <f>IF(E257="","",E257-TODAY())</f>
        <v/>
      </c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3">
        <f>IF(B257="","",IF(COUNTBLANK(J257:O257)=6,"",IF(COUNTIF(J257:O257,"Красный")&gt;0,"Красный",IF(COUNTIF(J257:O257,"Жёлтый")&gt;0,"Жёлтый",IF(COUNTIF(J257:O257,"Не начат")&gt;0,"Не начат","Зелёный")))))</f>
        <v/>
      </c>
      <c r="Q257" s="50" t="n"/>
      <c r="R257" s="50" t="n"/>
      <c r="S257" s="50" t="n"/>
    </row>
    <row r="258" ht="15" customHeight="1" s="32">
      <c r="A258" s="50" t="n"/>
      <c r="B258" s="50" t="n"/>
      <c r="C258" s="50" t="n"/>
      <c r="D258" s="50" t="n"/>
      <c r="E258" s="51" t="n"/>
      <c r="F258" s="51" t="n"/>
      <c r="G258" s="52">
        <f>IF(E258="","",E258-TODAY())</f>
        <v/>
      </c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3">
        <f>IF(B258="","",IF(COUNTBLANK(J258:O258)=6,"",IF(COUNTIF(J258:O258,"Красный")&gt;0,"Красный",IF(COUNTIF(J258:O258,"Жёлтый")&gt;0,"Жёлтый",IF(COUNTIF(J258:O258,"Не начат")&gt;0,"Не начат","Зелёный")))))</f>
        <v/>
      </c>
      <c r="Q258" s="50" t="n"/>
      <c r="R258" s="50" t="n"/>
      <c r="S258" s="50" t="n"/>
    </row>
    <row r="259" ht="15" customHeight="1" s="32">
      <c r="A259" s="50" t="n"/>
      <c r="B259" s="50" t="n"/>
      <c r="C259" s="50" t="n"/>
      <c r="D259" s="50" t="n"/>
      <c r="E259" s="51" t="n"/>
      <c r="F259" s="51" t="n"/>
      <c r="G259" s="52">
        <f>IF(E259="","",E259-TODAY())</f>
        <v/>
      </c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3">
        <f>IF(B259="","",IF(COUNTBLANK(J259:O259)=6,"",IF(COUNTIF(J259:O259,"Красный")&gt;0,"Красный",IF(COUNTIF(J259:O259,"Жёлтый")&gt;0,"Жёлтый",IF(COUNTIF(J259:O259,"Не начат")&gt;0,"Не начат","Зелёный")))))</f>
        <v/>
      </c>
      <c r="Q259" s="50" t="n"/>
      <c r="R259" s="50" t="n"/>
      <c r="S259" s="50" t="n"/>
    </row>
    <row r="260" ht="15" customHeight="1" s="32">
      <c r="A260" s="50" t="n"/>
      <c r="B260" s="50" t="n"/>
      <c r="C260" s="50" t="n"/>
      <c r="D260" s="50" t="n"/>
      <c r="E260" s="51" t="n"/>
      <c r="F260" s="51" t="n"/>
      <c r="G260" s="52">
        <f>IF(E260="","",E260-TODAY())</f>
        <v/>
      </c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3">
        <f>IF(B260="","",IF(COUNTBLANK(J260:O260)=6,"",IF(COUNTIF(J260:O260,"Красный")&gt;0,"Красный",IF(COUNTIF(J260:O260,"Жёлтый")&gt;0,"Жёлтый",IF(COUNTIF(J260:O260,"Не начат")&gt;0,"Не начат","Зелёный")))))</f>
        <v/>
      </c>
      <c r="Q260" s="50" t="n"/>
      <c r="R260" s="50" t="n"/>
      <c r="S260" s="50" t="n"/>
    </row>
    <row r="261" ht="15" customHeight="1" s="32">
      <c r="A261" s="50" t="n"/>
      <c r="B261" s="50" t="n"/>
      <c r="C261" s="50" t="n"/>
      <c r="D261" s="50" t="n"/>
      <c r="E261" s="51" t="n"/>
      <c r="F261" s="51" t="n"/>
      <c r="G261" s="52">
        <f>IF(E261="","",E261-TODAY())</f>
        <v/>
      </c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3">
        <f>IF(B261="","",IF(COUNTBLANK(J261:O261)=6,"",IF(COUNTIF(J261:O261,"Красный")&gt;0,"Красный",IF(COUNTIF(J261:O261,"Жёлтый")&gt;0,"Жёлтый",IF(COUNTIF(J261:O261,"Не начат")&gt;0,"Не начат","Зелёный")))))</f>
        <v/>
      </c>
      <c r="Q261" s="50" t="n"/>
      <c r="R261" s="50" t="n"/>
      <c r="S261" s="50" t="n"/>
    </row>
    <row r="262" ht="15" customHeight="1" s="32">
      <c r="A262" s="50" t="n"/>
      <c r="B262" s="50" t="n"/>
      <c r="C262" s="50" t="n"/>
      <c r="D262" s="50" t="n"/>
      <c r="E262" s="51" t="n"/>
      <c r="F262" s="51" t="n"/>
      <c r="G262" s="52">
        <f>IF(E262="","",E262-TODAY())</f>
        <v/>
      </c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3">
        <f>IF(B262="","",IF(COUNTBLANK(J262:O262)=6,"",IF(COUNTIF(J262:O262,"Красный")&gt;0,"Красный",IF(COUNTIF(J262:O262,"Жёлтый")&gt;0,"Жёлтый",IF(COUNTIF(J262:O262,"Не начат")&gt;0,"Не начат","Зелёный")))))</f>
        <v/>
      </c>
      <c r="Q262" s="50" t="n"/>
      <c r="R262" s="50" t="n"/>
      <c r="S262" s="50" t="n"/>
    </row>
    <row r="263" ht="15" customHeight="1" s="32">
      <c r="A263" s="50" t="n"/>
      <c r="B263" s="50" t="n"/>
      <c r="C263" s="50" t="n"/>
      <c r="D263" s="50" t="n"/>
      <c r="E263" s="51" t="n"/>
      <c r="F263" s="51" t="n"/>
      <c r="G263" s="52">
        <f>IF(E263="","",E263-TODAY())</f>
        <v/>
      </c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3">
        <f>IF(B263="","",IF(COUNTBLANK(J263:O263)=6,"",IF(COUNTIF(J263:O263,"Красный")&gt;0,"Красный",IF(COUNTIF(J263:O263,"Жёлтый")&gt;0,"Жёлтый",IF(COUNTIF(J263:O263,"Не начат")&gt;0,"Не начат","Зелёный")))))</f>
        <v/>
      </c>
      <c r="Q263" s="50" t="n"/>
      <c r="R263" s="50" t="n"/>
      <c r="S263" s="50" t="n"/>
    </row>
    <row r="264" ht="15" customHeight="1" s="32">
      <c r="A264" s="50" t="n"/>
      <c r="B264" s="50" t="n"/>
      <c r="C264" s="50" t="n"/>
      <c r="D264" s="50" t="n"/>
      <c r="E264" s="51" t="n"/>
      <c r="F264" s="51" t="n"/>
      <c r="G264" s="52">
        <f>IF(E264="","",E264-TODAY())</f>
        <v/>
      </c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3">
        <f>IF(B264="","",IF(COUNTBLANK(J264:O264)=6,"",IF(COUNTIF(J264:O264,"Красный")&gt;0,"Красный",IF(COUNTIF(J264:O264,"Жёлтый")&gt;0,"Жёлтый",IF(COUNTIF(J264:O264,"Не начат")&gt;0,"Не начат","Зелёный")))))</f>
        <v/>
      </c>
      <c r="Q264" s="50" t="n"/>
      <c r="R264" s="50" t="n"/>
      <c r="S264" s="50" t="n"/>
    </row>
    <row r="265" ht="15" customHeight="1" s="32">
      <c r="A265" s="50" t="n"/>
      <c r="B265" s="50" t="n"/>
      <c r="C265" s="50" t="n"/>
      <c r="D265" s="50" t="n"/>
      <c r="E265" s="51" t="n"/>
      <c r="F265" s="51" t="n"/>
      <c r="G265" s="52">
        <f>IF(E265="","",E265-TODAY())</f>
        <v/>
      </c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3">
        <f>IF(B265="","",IF(COUNTBLANK(J265:O265)=6,"",IF(COUNTIF(J265:O265,"Красный")&gt;0,"Красный",IF(COUNTIF(J265:O265,"Жёлтый")&gt;0,"Жёлтый",IF(COUNTIF(J265:O265,"Не начат")&gt;0,"Не начат","Зелёный")))))</f>
        <v/>
      </c>
      <c r="Q265" s="50" t="n"/>
      <c r="R265" s="50" t="n"/>
      <c r="S265" s="50" t="n"/>
    </row>
    <row r="266" ht="15" customHeight="1" s="32">
      <c r="A266" s="50" t="n"/>
      <c r="B266" s="50" t="n"/>
      <c r="C266" s="50" t="n"/>
      <c r="D266" s="50" t="n"/>
      <c r="E266" s="51" t="n"/>
      <c r="F266" s="51" t="n"/>
      <c r="G266" s="52">
        <f>IF(E266="","",E266-TODAY())</f>
        <v/>
      </c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3">
        <f>IF(B266="","",IF(COUNTBLANK(J266:O266)=6,"",IF(COUNTIF(J266:O266,"Красный")&gt;0,"Красный",IF(COUNTIF(J266:O266,"Жёлтый")&gt;0,"Жёлтый",IF(COUNTIF(J266:O266,"Не начат")&gt;0,"Не начат","Зелёный")))))</f>
        <v/>
      </c>
      <c r="Q266" s="50" t="n"/>
      <c r="R266" s="50" t="n"/>
      <c r="S266" s="50" t="n"/>
    </row>
    <row r="267" ht="15" customHeight="1" s="32">
      <c r="A267" s="50" t="n"/>
      <c r="B267" s="50" t="n"/>
      <c r="C267" s="50" t="n"/>
      <c r="D267" s="50" t="n"/>
      <c r="E267" s="51" t="n"/>
      <c r="F267" s="51" t="n"/>
      <c r="G267" s="52">
        <f>IF(E267="","",E267-TODAY())</f>
        <v/>
      </c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3">
        <f>IF(B267="","",IF(COUNTBLANK(J267:O267)=6,"",IF(COUNTIF(J267:O267,"Красный")&gt;0,"Красный",IF(COUNTIF(J267:O267,"Жёлтый")&gt;0,"Жёлтый",IF(COUNTIF(J267:O267,"Не начат")&gt;0,"Не начат","Зелёный")))))</f>
        <v/>
      </c>
      <c r="Q267" s="50" t="n"/>
      <c r="R267" s="50" t="n"/>
      <c r="S267" s="50" t="n"/>
    </row>
    <row r="268" ht="15" customHeight="1" s="32">
      <c r="A268" s="50" t="n"/>
      <c r="B268" s="50" t="n"/>
      <c r="C268" s="50" t="n"/>
      <c r="D268" s="50" t="n"/>
      <c r="E268" s="51" t="n"/>
      <c r="F268" s="51" t="n"/>
      <c r="G268" s="52">
        <f>IF(E268="","",E268-TODAY())</f>
        <v/>
      </c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3">
        <f>IF(B268="","",IF(COUNTBLANK(J268:O268)=6,"",IF(COUNTIF(J268:O268,"Красный")&gt;0,"Красный",IF(COUNTIF(J268:O268,"Жёлтый")&gt;0,"Жёлтый",IF(COUNTIF(J268:O268,"Не начат")&gt;0,"Не начат","Зелёный")))))</f>
        <v/>
      </c>
      <c r="Q268" s="50" t="n"/>
      <c r="R268" s="50" t="n"/>
      <c r="S268" s="50" t="n"/>
    </row>
    <row r="269" ht="15" customHeight="1" s="32">
      <c r="A269" s="50" t="n"/>
      <c r="B269" s="50" t="n"/>
      <c r="C269" s="50" t="n"/>
      <c r="D269" s="50" t="n"/>
      <c r="E269" s="51" t="n"/>
      <c r="F269" s="51" t="n"/>
      <c r="G269" s="52">
        <f>IF(E269="","",E269-TODAY())</f>
        <v/>
      </c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3">
        <f>IF(B269="","",IF(COUNTBLANK(J269:O269)=6,"",IF(COUNTIF(J269:O269,"Красный")&gt;0,"Красный",IF(COUNTIF(J269:O269,"Жёлтый")&gt;0,"Жёлтый",IF(COUNTIF(J269:O269,"Не начат")&gt;0,"Не начат","Зелёный")))))</f>
        <v/>
      </c>
      <c r="Q269" s="50" t="n"/>
      <c r="R269" s="50" t="n"/>
      <c r="S269" s="50" t="n"/>
    </row>
    <row r="270" ht="15" customHeight="1" s="32">
      <c r="A270" s="50" t="n"/>
      <c r="B270" s="50" t="n"/>
      <c r="C270" s="50" t="n"/>
      <c r="D270" s="50" t="n"/>
      <c r="E270" s="51" t="n"/>
      <c r="F270" s="51" t="n"/>
      <c r="G270" s="52">
        <f>IF(E270="","",E270-TODAY())</f>
        <v/>
      </c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3">
        <f>IF(B270="","",IF(COUNTBLANK(J270:O270)=6,"",IF(COUNTIF(J270:O270,"Красный")&gt;0,"Красный",IF(COUNTIF(J270:O270,"Жёлтый")&gt;0,"Жёлтый",IF(COUNTIF(J270:O270,"Не начат")&gt;0,"Не начат","Зелёный")))))</f>
        <v/>
      </c>
      <c r="Q270" s="50" t="n"/>
      <c r="R270" s="50" t="n"/>
      <c r="S270" s="50" t="n"/>
    </row>
    <row r="271" ht="15" customHeight="1" s="32">
      <c r="A271" s="50" t="n"/>
      <c r="B271" s="50" t="n"/>
      <c r="C271" s="50" t="n"/>
      <c r="D271" s="50" t="n"/>
      <c r="E271" s="51" t="n"/>
      <c r="F271" s="51" t="n"/>
      <c r="G271" s="52">
        <f>IF(E271="","",E271-TODAY())</f>
        <v/>
      </c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3">
        <f>IF(B271="","",IF(COUNTBLANK(J271:O271)=6,"",IF(COUNTIF(J271:O271,"Красный")&gt;0,"Красный",IF(COUNTIF(J271:O271,"Жёлтый")&gt;0,"Жёлтый",IF(COUNTIF(J271:O271,"Не начат")&gt;0,"Не начат","Зелёный")))))</f>
        <v/>
      </c>
      <c r="Q271" s="50" t="n"/>
      <c r="R271" s="50" t="n"/>
      <c r="S271" s="50" t="n"/>
    </row>
    <row r="272" ht="15" customHeight="1" s="32">
      <c r="A272" s="50" t="n"/>
      <c r="B272" s="50" t="n"/>
      <c r="C272" s="50" t="n"/>
      <c r="D272" s="50" t="n"/>
      <c r="E272" s="51" t="n"/>
      <c r="F272" s="51" t="n"/>
      <c r="G272" s="52">
        <f>IF(E272="","",E272-TODAY())</f>
        <v/>
      </c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3">
        <f>IF(B272="","",IF(COUNTBLANK(J272:O272)=6,"",IF(COUNTIF(J272:O272,"Красный")&gt;0,"Красный",IF(COUNTIF(J272:O272,"Жёлтый")&gt;0,"Жёлтый",IF(COUNTIF(J272:O272,"Не начат")&gt;0,"Не начат","Зелёный")))))</f>
        <v/>
      </c>
      <c r="Q272" s="50" t="n"/>
      <c r="R272" s="50" t="n"/>
      <c r="S272" s="50" t="n"/>
    </row>
    <row r="273" ht="15" customHeight="1" s="32">
      <c r="A273" s="50" t="n"/>
      <c r="B273" s="50" t="n"/>
      <c r="C273" s="50" t="n"/>
      <c r="D273" s="50" t="n"/>
      <c r="E273" s="51" t="n"/>
      <c r="F273" s="51" t="n"/>
      <c r="G273" s="52">
        <f>IF(E273="","",E273-TODAY())</f>
        <v/>
      </c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3">
        <f>IF(B273="","",IF(COUNTBLANK(J273:O273)=6,"",IF(COUNTIF(J273:O273,"Красный")&gt;0,"Красный",IF(COUNTIF(J273:O273,"Жёлтый")&gt;0,"Жёлтый",IF(COUNTIF(J273:O273,"Не начат")&gt;0,"Не начат","Зелёный")))))</f>
        <v/>
      </c>
      <c r="Q273" s="50" t="n"/>
      <c r="R273" s="50" t="n"/>
      <c r="S273" s="50" t="n"/>
    </row>
    <row r="274" ht="15" customHeight="1" s="32">
      <c r="A274" s="50" t="n"/>
      <c r="B274" s="50" t="n"/>
      <c r="C274" s="50" t="n"/>
      <c r="D274" s="50" t="n"/>
      <c r="E274" s="51" t="n"/>
      <c r="F274" s="51" t="n"/>
      <c r="G274" s="52">
        <f>IF(E274="","",E274-TODAY())</f>
        <v/>
      </c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3">
        <f>IF(B274="","",IF(COUNTBLANK(J274:O274)=6,"",IF(COUNTIF(J274:O274,"Красный")&gt;0,"Красный",IF(COUNTIF(J274:O274,"Жёлтый")&gt;0,"Жёлтый",IF(COUNTIF(J274:O274,"Не начат")&gt;0,"Не начат","Зелёный")))))</f>
        <v/>
      </c>
      <c r="Q274" s="50" t="n"/>
      <c r="R274" s="50" t="n"/>
      <c r="S274" s="50" t="n"/>
    </row>
    <row r="275" ht="15" customHeight="1" s="32">
      <c r="A275" s="50" t="n"/>
      <c r="B275" s="50" t="n"/>
      <c r="C275" s="50" t="n"/>
      <c r="D275" s="50" t="n"/>
      <c r="E275" s="51" t="n"/>
      <c r="F275" s="51" t="n"/>
      <c r="G275" s="52">
        <f>IF(E275="","",E275-TODAY())</f>
        <v/>
      </c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3">
        <f>IF(B275="","",IF(COUNTBLANK(J275:O275)=6,"",IF(COUNTIF(J275:O275,"Красный")&gt;0,"Красный",IF(COUNTIF(J275:O275,"Жёлтый")&gt;0,"Жёлтый",IF(COUNTIF(J275:O275,"Не начат")&gt;0,"Не начат","Зелёный")))))</f>
        <v/>
      </c>
      <c r="Q275" s="50" t="n"/>
      <c r="R275" s="50" t="n"/>
      <c r="S275" s="50" t="n"/>
    </row>
    <row r="276" ht="15" customHeight="1" s="32">
      <c r="A276" s="50" t="n"/>
      <c r="B276" s="50" t="n"/>
      <c r="C276" s="50" t="n"/>
      <c r="D276" s="50" t="n"/>
      <c r="E276" s="51" t="n"/>
      <c r="F276" s="51" t="n"/>
      <c r="G276" s="52">
        <f>IF(E276="","",E276-TODAY())</f>
        <v/>
      </c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3">
        <f>IF(B276="","",IF(COUNTBLANK(J276:O276)=6,"",IF(COUNTIF(J276:O276,"Красный")&gt;0,"Красный",IF(COUNTIF(J276:O276,"Жёлтый")&gt;0,"Жёлтый",IF(COUNTIF(J276:O276,"Не начат")&gt;0,"Не начат","Зелёный")))))</f>
        <v/>
      </c>
      <c r="Q276" s="50" t="n"/>
      <c r="R276" s="50" t="n"/>
      <c r="S276" s="50" t="n"/>
    </row>
    <row r="277" ht="15" customHeight="1" s="32">
      <c r="A277" s="50" t="n"/>
      <c r="B277" s="50" t="n"/>
      <c r="C277" s="50" t="n"/>
      <c r="D277" s="50" t="n"/>
      <c r="E277" s="51" t="n"/>
      <c r="F277" s="51" t="n"/>
      <c r="G277" s="52">
        <f>IF(E277="","",E277-TODAY())</f>
        <v/>
      </c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3">
        <f>IF(B277="","",IF(COUNTBLANK(J277:O277)=6,"",IF(COUNTIF(J277:O277,"Красный")&gt;0,"Красный",IF(COUNTIF(J277:O277,"Жёлтый")&gt;0,"Жёлтый",IF(COUNTIF(J277:O277,"Не начат")&gt;0,"Не начат","Зелёный")))))</f>
        <v/>
      </c>
      <c r="Q277" s="50" t="n"/>
      <c r="R277" s="50" t="n"/>
      <c r="S277" s="50" t="n"/>
    </row>
    <row r="278" ht="15" customHeight="1" s="32">
      <c r="A278" s="50" t="n"/>
      <c r="B278" s="50" t="n"/>
      <c r="C278" s="50" t="n"/>
      <c r="D278" s="50" t="n"/>
      <c r="E278" s="51" t="n"/>
      <c r="F278" s="51" t="n"/>
      <c r="G278" s="52">
        <f>IF(E278="","",E278-TODAY())</f>
        <v/>
      </c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3">
        <f>IF(B278="","",IF(COUNTBLANK(J278:O278)=6,"",IF(COUNTIF(J278:O278,"Красный")&gt;0,"Красный",IF(COUNTIF(J278:O278,"Жёлтый")&gt;0,"Жёлтый",IF(COUNTIF(J278:O278,"Не начат")&gt;0,"Не начат","Зелёный")))))</f>
        <v/>
      </c>
      <c r="Q278" s="50" t="n"/>
      <c r="R278" s="50" t="n"/>
      <c r="S278" s="50" t="n"/>
    </row>
    <row r="279" ht="15" customHeight="1" s="32">
      <c r="A279" s="50" t="n"/>
      <c r="B279" s="50" t="n"/>
      <c r="C279" s="50" t="n"/>
      <c r="D279" s="50" t="n"/>
      <c r="E279" s="51" t="n"/>
      <c r="F279" s="51" t="n"/>
      <c r="G279" s="52">
        <f>IF(E279="","",E279-TODAY())</f>
        <v/>
      </c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3">
        <f>IF(B279="","",IF(COUNTBLANK(J279:O279)=6,"",IF(COUNTIF(J279:O279,"Красный")&gt;0,"Красный",IF(COUNTIF(J279:O279,"Жёлтый")&gt;0,"Жёлтый",IF(COUNTIF(J279:O279,"Не начат")&gt;0,"Не начат","Зелёный")))))</f>
        <v/>
      </c>
      <c r="Q279" s="50" t="n"/>
      <c r="R279" s="50" t="n"/>
      <c r="S279" s="50" t="n"/>
    </row>
    <row r="280" ht="15" customHeight="1" s="32">
      <c r="A280" s="50" t="n"/>
      <c r="B280" s="50" t="n"/>
      <c r="C280" s="50" t="n"/>
      <c r="D280" s="50" t="n"/>
      <c r="E280" s="51" t="n"/>
      <c r="F280" s="51" t="n"/>
      <c r="G280" s="52">
        <f>IF(E280="","",E280-TODAY())</f>
        <v/>
      </c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3">
        <f>IF(B280="","",IF(COUNTBLANK(J280:O280)=6,"",IF(COUNTIF(J280:O280,"Красный")&gt;0,"Красный",IF(COUNTIF(J280:O280,"Жёлтый")&gt;0,"Жёлтый",IF(COUNTIF(J280:O280,"Не начат")&gt;0,"Не начат","Зелёный")))))</f>
        <v/>
      </c>
      <c r="Q280" s="50" t="n"/>
      <c r="R280" s="50" t="n"/>
      <c r="S280" s="50" t="n"/>
    </row>
    <row r="281" ht="15" customHeight="1" s="32">
      <c r="A281" s="50" t="n"/>
      <c r="B281" s="50" t="n"/>
      <c r="C281" s="50" t="n"/>
      <c r="D281" s="50" t="n"/>
      <c r="E281" s="51" t="n"/>
      <c r="F281" s="51" t="n"/>
      <c r="G281" s="52">
        <f>IF(E281="","",E281-TODAY())</f>
        <v/>
      </c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3">
        <f>IF(B281="","",IF(COUNTBLANK(J281:O281)=6,"",IF(COUNTIF(J281:O281,"Красный")&gt;0,"Красный",IF(COUNTIF(J281:O281,"Жёлтый")&gt;0,"Жёлтый",IF(COUNTIF(J281:O281,"Не начат")&gt;0,"Не начат","Зелёный")))))</f>
        <v/>
      </c>
      <c r="Q281" s="50" t="n"/>
      <c r="R281" s="50" t="n"/>
      <c r="S281" s="50" t="n"/>
    </row>
    <row r="282" ht="15" customHeight="1" s="32">
      <c r="A282" s="50" t="n"/>
      <c r="B282" s="50" t="n"/>
      <c r="C282" s="50" t="n"/>
      <c r="D282" s="50" t="n"/>
      <c r="E282" s="51" t="n"/>
      <c r="F282" s="51" t="n"/>
      <c r="G282" s="52">
        <f>IF(E282="","",E282-TODAY())</f>
        <v/>
      </c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3">
        <f>IF(B282="","",IF(COUNTBLANK(J282:O282)=6,"",IF(COUNTIF(J282:O282,"Красный")&gt;0,"Красный",IF(COUNTIF(J282:O282,"Жёлтый")&gt;0,"Жёлтый",IF(COUNTIF(J282:O282,"Не начат")&gt;0,"Не начат","Зелёный")))))</f>
        <v/>
      </c>
      <c r="Q282" s="50" t="n"/>
      <c r="R282" s="50" t="n"/>
      <c r="S282" s="50" t="n"/>
    </row>
    <row r="283" ht="15" customHeight="1" s="32">
      <c r="A283" s="50" t="n"/>
      <c r="B283" s="50" t="n"/>
      <c r="C283" s="50" t="n"/>
      <c r="D283" s="50" t="n"/>
      <c r="E283" s="51" t="n"/>
      <c r="F283" s="51" t="n"/>
      <c r="G283" s="52">
        <f>IF(E283="","",E283-TODAY())</f>
        <v/>
      </c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3">
        <f>IF(B283="","",IF(COUNTBLANK(J283:O283)=6,"",IF(COUNTIF(J283:O283,"Красный")&gt;0,"Красный",IF(COUNTIF(J283:O283,"Жёлтый")&gt;0,"Жёлтый",IF(COUNTIF(J283:O283,"Не начат")&gt;0,"Не начат","Зелёный")))))</f>
        <v/>
      </c>
      <c r="Q283" s="50" t="n"/>
      <c r="R283" s="50" t="n"/>
      <c r="S283" s="50" t="n"/>
    </row>
    <row r="284" ht="15" customHeight="1" s="32">
      <c r="A284" s="50" t="n"/>
      <c r="B284" s="50" t="n"/>
      <c r="C284" s="50" t="n"/>
      <c r="D284" s="50" t="n"/>
      <c r="E284" s="51" t="n"/>
      <c r="F284" s="51" t="n"/>
      <c r="G284" s="52">
        <f>IF(E284="","",E284-TODAY())</f>
        <v/>
      </c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3">
        <f>IF(B284="","",IF(COUNTBLANK(J284:O284)=6,"",IF(COUNTIF(J284:O284,"Красный")&gt;0,"Красный",IF(COUNTIF(J284:O284,"Жёлтый")&gt;0,"Жёлтый",IF(COUNTIF(J284:O284,"Не начат")&gt;0,"Не начат","Зелёный")))))</f>
        <v/>
      </c>
      <c r="Q284" s="50" t="n"/>
      <c r="R284" s="50" t="n"/>
      <c r="S284" s="50" t="n"/>
    </row>
    <row r="285" ht="15" customHeight="1" s="32">
      <c r="A285" s="50" t="n"/>
      <c r="B285" s="50" t="n"/>
      <c r="C285" s="50" t="n"/>
      <c r="D285" s="50" t="n"/>
      <c r="E285" s="51" t="n"/>
      <c r="F285" s="51" t="n"/>
      <c r="G285" s="52">
        <f>IF(E285="","",E285-TODAY())</f>
        <v/>
      </c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3">
        <f>IF(B285="","",IF(COUNTBLANK(J285:O285)=6,"",IF(COUNTIF(J285:O285,"Красный")&gt;0,"Красный",IF(COUNTIF(J285:O285,"Жёлтый")&gt;0,"Жёлтый",IF(COUNTIF(J285:O285,"Не начат")&gt;0,"Не начат","Зелёный")))))</f>
        <v/>
      </c>
      <c r="Q285" s="50" t="n"/>
      <c r="R285" s="50" t="n"/>
      <c r="S285" s="50" t="n"/>
    </row>
    <row r="286" ht="15" customHeight="1" s="32">
      <c r="A286" s="50" t="n"/>
      <c r="B286" s="50" t="n"/>
      <c r="C286" s="50" t="n"/>
      <c r="D286" s="50" t="n"/>
      <c r="E286" s="51" t="n"/>
      <c r="F286" s="51" t="n"/>
      <c r="G286" s="52">
        <f>IF(E286="","",E286-TODAY())</f>
        <v/>
      </c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3">
        <f>IF(B286="","",IF(COUNTBLANK(J286:O286)=6,"",IF(COUNTIF(J286:O286,"Красный")&gt;0,"Красный",IF(COUNTIF(J286:O286,"Жёлтый")&gt;0,"Жёлтый",IF(COUNTIF(J286:O286,"Не начат")&gt;0,"Не начат","Зелёный")))))</f>
        <v/>
      </c>
      <c r="Q286" s="50" t="n"/>
      <c r="R286" s="50" t="n"/>
      <c r="S286" s="50" t="n"/>
    </row>
    <row r="287" ht="15" customHeight="1" s="32">
      <c r="A287" s="50" t="n"/>
      <c r="B287" s="50" t="n"/>
      <c r="C287" s="50" t="n"/>
      <c r="D287" s="50" t="n"/>
      <c r="E287" s="51" t="n"/>
      <c r="F287" s="51" t="n"/>
      <c r="G287" s="52">
        <f>IF(E287="","",E287-TODAY())</f>
        <v/>
      </c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3">
        <f>IF(B287="","",IF(COUNTBLANK(J287:O287)=6,"",IF(COUNTIF(J287:O287,"Красный")&gt;0,"Красный",IF(COUNTIF(J287:O287,"Жёлтый")&gt;0,"Жёлтый",IF(COUNTIF(J287:O287,"Не начат")&gt;0,"Не начат","Зелёный")))))</f>
        <v/>
      </c>
      <c r="Q287" s="50" t="n"/>
      <c r="R287" s="50" t="n"/>
      <c r="S287" s="50" t="n"/>
    </row>
    <row r="288" ht="15" customHeight="1" s="32">
      <c r="A288" s="50" t="n"/>
      <c r="B288" s="50" t="n"/>
      <c r="C288" s="50" t="n"/>
      <c r="D288" s="50" t="n"/>
      <c r="E288" s="51" t="n"/>
      <c r="F288" s="51" t="n"/>
      <c r="G288" s="52">
        <f>IF(E288="","",E288-TODAY())</f>
        <v/>
      </c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3">
        <f>IF(B288="","",IF(COUNTBLANK(J288:O288)=6,"",IF(COUNTIF(J288:O288,"Красный")&gt;0,"Красный",IF(COUNTIF(J288:O288,"Жёлтый")&gt;0,"Жёлтый",IF(COUNTIF(J288:O288,"Не начат")&gt;0,"Не начат","Зелёный")))))</f>
        <v/>
      </c>
      <c r="Q288" s="50" t="n"/>
      <c r="R288" s="50" t="n"/>
      <c r="S288" s="50" t="n"/>
    </row>
    <row r="289" ht="15" customHeight="1" s="32">
      <c r="A289" s="50" t="n"/>
      <c r="B289" s="50" t="n"/>
      <c r="C289" s="50" t="n"/>
      <c r="D289" s="50" t="n"/>
      <c r="E289" s="51" t="n"/>
      <c r="F289" s="51" t="n"/>
      <c r="G289" s="52">
        <f>IF(E289="","",E289-TODAY())</f>
        <v/>
      </c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3">
        <f>IF(B289="","",IF(COUNTBLANK(J289:O289)=6,"",IF(COUNTIF(J289:O289,"Красный")&gt;0,"Красный",IF(COUNTIF(J289:O289,"Жёлтый")&gt;0,"Жёлтый",IF(COUNTIF(J289:O289,"Не начат")&gt;0,"Не начат","Зелёный")))))</f>
        <v/>
      </c>
      <c r="Q289" s="50" t="n"/>
      <c r="R289" s="50" t="n"/>
      <c r="S289" s="50" t="n"/>
    </row>
    <row r="290" ht="15" customHeight="1" s="32">
      <c r="A290" s="50" t="n"/>
      <c r="B290" s="50" t="n"/>
      <c r="C290" s="50" t="n"/>
      <c r="D290" s="50" t="n"/>
      <c r="E290" s="51" t="n"/>
      <c r="F290" s="51" t="n"/>
      <c r="G290" s="52">
        <f>IF(E290="","",E290-TODAY())</f>
        <v/>
      </c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3">
        <f>IF(B290="","",IF(COUNTBLANK(J290:O290)=6,"",IF(COUNTIF(J290:O290,"Красный")&gt;0,"Красный",IF(COUNTIF(J290:O290,"Жёлтый")&gt;0,"Жёлтый",IF(COUNTIF(J290:O290,"Не начат")&gt;0,"Не начат","Зелёный")))))</f>
        <v/>
      </c>
      <c r="Q290" s="50" t="n"/>
      <c r="R290" s="50" t="n"/>
      <c r="S290" s="50" t="n"/>
    </row>
    <row r="291" ht="15" customHeight="1" s="32">
      <c r="A291" s="50" t="n"/>
      <c r="B291" s="50" t="n"/>
      <c r="C291" s="50" t="n"/>
      <c r="D291" s="50" t="n"/>
      <c r="E291" s="51" t="n"/>
      <c r="F291" s="51" t="n"/>
      <c r="G291" s="52">
        <f>IF(E291="","",E291-TODAY())</f>
        <v/>
      </c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3">
        <f>IF(B291="","",IF(COUNTBLANK(J291:O291)=6,"",IF(COUNTIF(J291:O291,"Красный")&gt;0,"Красный",IF(COUNTIF(J291:O291,"Жёлтый")&gt;0,"Жёлтый",IF(COUNTIF(J291:O291,"Не начат")&gt;0,"Не начат","Зелёный")))))</f>
        <v/>
      </c>
      <c r="Q291" s="50" t="n"/>
      <c r="R291" s="50" t="n"/>
      <c r="S291" s="50" t="n"/>
    </row>
    <row r="292" ht="15" customHeight="1" s="32">
      <c r="A292" s="50" t="n"/>
      <c r="B292" s="50" t="n"/>
      <c r="C292" s="50" t="n"/>
      <c r="D292" s="50" t="n"/>
      <c r="E292" s="51" t="n"/>
      <c r="F292" s="51" t="n"/>
      <c r="G292" s="52">
        <f>IF(E292="","",E292-TODAY())</f>
        <v/>
      </c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3">
        <f>IF(B292="","",IF(COUNTBLANK(J292:O292)=6,"",IF(COUNTIF(J292:O292,"Красный")&gt;0,"Красный",IF(COUNTIF(J292:O292,"Жёлтый")&gt;0,"Жёлтый",IF(COUNTIF(J292:O292,"Не начат")&gt;0,"Не начат","Зелёный")))))</f>
        <v/>
      </c>
      <c r="Q292" s="50" t="n"/>
      <c r="R292" s="50" t="n"/>
      <c r="S292" s="50" t="n"/>
    </row>
    <row r="293" ht="15" customHeight="1" s="32">
      <c r="A293" s="50" t="n"/>
      <c r="B293" s="50" t="n"/>
      <c r="C293" s="50" t="n"/>
      <c r="D293" s="50" t="n"/>
      <c r="E293" s="51" t="n"/>
      <c r="F293" s="51" t="n"/>
      <c r="G293" s="52">
        <f>IF(E293="","",E293-TODAY())</f>
        <v/>
      </c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3">
        <f>IF(B293="","",IF(COUNTBLANK(J293:O293)=6,"",IF(COUNTIF(J293:O293,"Красный")&gt;0,"Красный",IF(COUNTIF(J293:O293,"Жёлтый")&gt;0,"Жёлтый",IF(COUNTIF(J293:O293,"Не начат")&gt;0,"Не начат","Зелёный")))))</f>
        <v/>
      </c>
      <c r="Q293" s="50" t="n"/>
      <c r="R293" s="50" t="n"/>
      <c r="S293" s="50" t="n"/>
    </row>
    <row r="294" ht="15" customHeight="1" s="32">
      <c r="A294" s="50" t="n"/>
      <c r="B294" s="50" t="n"/>
      <c r="C294" s="50" t="n"/>
      <c r="D294" s="50" t="n"/>
      <c r="E294" s="51" t="n"/>
      <c r="F294" s="51" t="n"/>
      <c r="G294" s="52">
        <f>IF(E294="","",E294-TODAY())</f>
        <v/>
      </c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3">
        <f>IF(B294="","",IF(COUNTBLANK(J294:O294)=6,"",IF(COUNTIF(J294:O294,"Красный")&gt;0,"Красный",IF(COUNTIF(J294:O294,"Жёлтый")&gt;0,"Жёлтый",IF(COUNTIF(J294:O294,"Не начат")&gt;0,"Не начат","Зелёный")))))</f>
        <v/>
      </c>
      <c r="Q294" s="50" t="n"/>
      <c r="R294" s="50" t="n"/>
      <c r="S294" s="50" t="n"/>
    </row>
    <row r="295" ht="15" customHeight="1" s="32">
      <c r="A295" s="50" t="n"/>
      <c r="B295" s="50" t="n"/>
      <c r="C295" s="50" t="n"/>
      <c r="D295" s="50" t="n"/>
      <c r="E295" s="51" t="n"/>
      <c r="F295" s="51" t="n"/>
      <c r="G295" s="52">
        <f>IF(E295="","",E295-TODAY())</f>
        <v/>
      </c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3">
        <f>IF(B295="","",IF(COUNTBLANK(J295:O295)=6,"",IF(COUNTIF(J295:O295,"Красный")&gt;0,"Красный",IF(COUNTIF(J295:O295,"Жёлтый")&gt;0,"Жёлтый",IF(COUNTIF(J295:O295,"Не начат")&gt;0,"Не начат","Зелёный")))))</f>
        <v/>
      </c>
      <c r="Q295" s="50" t="n"/>
      <c r="R295" s="50" t="n"/>
      <c r="S295" s="50" t="n"/>
    </row>
    <row r="296" ht="15" customHeight="1" s="32">
      <c r="A296" s="50" t="n"/>
      <c r="B296" s="50" t="n"/>
      <c r="C296" s="50" t="n"/>
      <c r="D296" s="50" t="n"/>
      <c r="E296" s="51" t="n"/>
      <c r="F296" s="51" t="n"/>
      <c r="G296" s="52">
        <f>IF(E296="","",E296-TODAY())</f>
        <v/>
      </c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3">
        <f>IF(B296="","",IF(COUNTBLANK(J296:O296)=6,"",IF(COUNTIF(J296:O296,"Красный")&gt;0,"Красный",IF(COUNTIF(J296:O296,"Жёлтый")&gt;0,"Жёлтый",IF(COUNTIF(J296:O296,"Не начат")&gt;0,"Не начат","Зелёный")))))</f>
        <v/>
      </c>
      <c r="Q296" s="50" t="n"/>
      <c r="R296" s="50" t="n"/>
      <c r="S296" s="50" t="n"/>
    </row>
    <row r="297" ht="15" customHeight="1" s="32">
      <c r="A297" s="50" t="n"/>
      <c r="B297" s="50" t="n"/>
      <c r="C297" s="50" t="n"/>
      <c r="D297" s="50" t="n"/>
      <c r="E297" s="51" t="n"/>
      <c r="F297" s="51" t="n"/>
      <c r="G297" s="52">
        <f>IF(E297="","",E297-TODAY())</f>
        <v/>
      </c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3">
        <f>IF(B297="","",IF(COUNTBLANK(J297:O297)=6,"",IF(COUNTIF(J297:O297,"Красный")&gt;0,"Красный",IF(COUNTIF(J297:O297,"Жёлтый")&gt;0,"Жёлтый",IF(COUNTIF(J297:O297,"Не начат")&gt;0,"Не начат","Зелёный")))))</f>
        <v/>
      </c>
      <c r="Q297" s="50" t="n"/>
      <c r="R297" s="50" t="n"/>
      <c r="S297" s="50" t="n"/>
    </row>
    <row r="298" ht="15" customHeight="1" s="32">
      <c r="A298" s="50" t="n"/>
      <c r="B298" s="50" t="n"/>
      <c r="C298" s="50" t="n"/>
      <c r="D298" s="50" t="n"/>
      <c r="E298" s="51" t="n"/>
      <c r="F298" s="51" t="n"/>
      <c r="G298" s="52">
        <f>IF(E298="","",E298-TODAY())</f>
        <v/>
      </c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3">
        <f>IF(B298="","",IF(COUNTBLANK(J298:O298)=6,"",IF(COUNTIF(J298:O298,"Красный")&gt;0,"Красный",IF(COUNTIF(J298:O298,"Жёлтый")&gt;0,"Жёлтый",IF(COUNTIF(J298:O298,"Не начат")&gt;0,"Не начат","Зелёный")))))</f>
        <v/>
      </c>
      <c r="Q298" s="50" t="n"/>
      <c r="R298" s="50" t="n"/>
      <c r="S298" s="50" t="n"/>
    </row>
    <row r="299" ht="15" customHeight="1" s="32">
      <c r="A299" s="50" t="n"/>
      <c r="B299" s="50" t="n"/>
      <c r="C299" s="50" t="n"/>
      <c r="D299" s="50" t="n"/>
      <c r="E299" s="51" t="n"/>
      <c r="F299" s="51" t="n"/>
      <c r="G299" s="52">
        <f>IF(E299="","",E299-TODAY())</f>
        <v/>
      </c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3">
        <f>IF(B299="","",IF(COUNTBLANK(J299:O299)=6,"",IF(COUNTIF(J299:O299,"Красный")&gt;0,"Красный",IF(COUNTIF(J299:O299,"Жёлтый")&gt;0,"Жёлтый",IF(COUNTIF(J299:O299,"Не начат")&gt;0,"Не начат","Зелёный")))))</f>
        <v/>
      </c>
      <c r="Q299" s="50" t="n"/>
      <c r="R299" s="50" t="n"/>
      <c r="S299" s="50" t="n"/>
    </row>
    <row r="300" ht="15" customHeight="1" s="32">
      <c r="A300" s="50" t="n"/>
      <c r="B300" s="50" t="n"/>
      <c r="C300" s="50" t="n"/>
      <c r="D300" s="50" t="n"/>
      <c r="E300" s="51" t="n"/>
      <c r="F300" s="51" t="n"/>
      <c r="G300" s="52">
        <f>IF(E300="","",E300-TODAY())</f>
        <v/>
      </c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3">
        <f>IF(B300="","",IF(COUNTBLANK(J300:O300)=6,"",IF(COUNTIF(J300:O300,"Красный")&gt;0,"Красный",IF(COUNTIF(J300:O300,"Жёлтый")&gt;0,"Жёлтый",IF(COUNTIF(J300:O300,"Не начат")&gt;0,"Не начат","Зелёный")))))</f>
        <v/>
      </c>
      <c r="Q300" s="50" t="n"/>
      <c r="R300" s="50" t="n"/>
      <c r="S300" s="50" t="n"/>
    </row>
    <row r="301" ht="15" customHeight="1" s="32">
      <c r="A301" s="50" t="n"/>
      <c r="B301" s="50" t="n"/>
      <c r="C301" s="50" t="n"/>
      <c r="D301" s="50" t="n"/>
      <c r="E301" s="51" t="n"/>
      <c r="F301" s="51" t="n"/>
      <c r="G301" s="52">
        <f>IF(E301="","",E301-TODAY())</f>
        <v/>
      </c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3">
        <f>IF(B301="","",IF(COUNTBLANK(J301:O301)=6,"",IF(COUNTIF(J301:O301,"Красный")&gt;0,"Красный",IF(COUNTIF(J301:O301,"Жёлтый")&gt;0,"Жёлтый",IF(COUNTIF(J301:O301,"Не начат")&gt;0,"Не начат","Зелёный")))))</f>
        <v/>
      </c>
      <c r="Q301" s="50" t="n"/>
      <c r="R301" s="50" t="n"/>
      <c r="S301" s="50" t="n"/>
    </row>
    <row r="302" ht="15" customHeight="1" s="32">
      <c r="A302" s="50" t="n"/>
      <c r="B302" s="50" t="n"/>
      <c r="C302" s="50" t="n"/>
      <c r="D302" s="50" t="n"/>
      <c r="E302" s="51" t="n"/>
      <c r="F302" s="51" t="n"/>
      <c r="G302" s="52">
        <f>IF(E302="","",E302-TODAY())</f>
        <v/>
      </c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3">
        <f>IF(B302="","",IF(COUNTBLANK(J302:O302)=6,"",IF(COUNTIF(J302:O302,"Красный")&gt;0,"Красный",IF(COUNTIF(J302:O302,"Жёлтый")&gt;0,"Жёлтый",IF(COUNTIF(J302:O302,"Не начат")&gt;0,"Не начат","Зелёный")))))</f>
        <v/>
      </c>
      <c r="Q302" s="50" t="n"/>
      <c r="R302" s="50" t="n"/>
      <c r="S302" s="50" t="n"/>
    </row>
    <row r="303" ht="15" customHeight="1" s="32">
      <c r="A303" s="50" t="n"/>
      <c r="B303" s="50" t="n"/>
      <c r="C303" s="50" t="n"/>
      <c r="D303" s="50" t="n"/>
      <c r="E303" s="51" t="n"/>
      <c r="F303" s="51" t="n"/>
      <c r="G303" s="52">
        <f>IF(E303="","",E303-TODAY())</f>
        <v/>
      </c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3">
        <f>IF(B303="","",IF(COUNTBLANK(J303:O303)=6,"",IF(COUNTIF(J303:O303,"Красный")&gt;0,"Красный",IF(COUNTIF(J303:O303,"Жёлтый")&gt;0,"Жёлтый",IF(COUNTIF(J303:O303,"Не начат")&gt;0,"Не начат","Зелёный")))))</f>
        <v/>
      </c>
      <c r="Q303" s="50" t="n"/>
      <c r="R303" s="50" t="n"/>
      <c r="S303" s="50" t="n"/>
    </row>
    <row r="304" ht="15" customHeight="1" s="32">
      <c r="A304" s="50" t="n"/>
      <c r="B304" s="50" t="n"/>
      <c r="C304" s="50" t="n"/>
      <c r="D304" s="50" t="n"/>
      <c r="E304" s="51" t="n"/>
      <c r="F304" s="51" t="n"/>
      <c r="G304" s="52">
        <f>IF(E304="","",E304-TODAY())</f>
        <v/>
      </c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3">
        <f>IF(B304="","",IF(COUNTBLANK(J304:O304)=6,"",IF(COUNTIF(J304:O304,"Красный")&gt;0,"Красный",IF(COUNTIF(J304:O304,"Жёлтый")&gt;0,"Жёлтый",IF(COUNTIF(J304:O304,"Не начат")&gt;0,"Не начат","Зелёный")))))</f>
        <v/>
      </c>
      <c r="Q304" s="50" t="n"/>
      <c r="R304" s="50" t="n"/>
      <c r="S304" s="50" t="n"/>
    </row>
    <row r="305" ht="15" customHeight="1" s="32">
      <c r="A305" s="50" t="n"/>
      <c r="B305" s="50" t="n"/>
      <c r="C305" s="50" t="n"/>
      <c r="D305" s="50" t="n"/>
      <c r="E305" s="51" t="n"/>
      <c r="F305" s="51" t="n"/>
      <c r="G305" s="52">
        <f>IF(E305="","",E305-TODAY())</f>
        <v/>
      </c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3">
        <f>IF(B305="","",IF(COUNTBLANK(J305:O305)=6,"",IF(COUNTIF(J305:O305,"Красный")&gt;0,"Красный",IF(COUNTIF(J305:O305,"Жёлтый")&gt;0,"Жёлтый",IF(COUNTIF(J305:O305,"Не начат")&gt;0,"Не начат","Зелёный")))))</f>
        <v/>
      </c>
      <c r="Q305" s="50" t="n"/>
      <c r="R305" s="50" t="n"/>
      <c r="S305" s="50" t="n"/>
    </row>
    <row r="306" ht="15" customHeight="1" s="32">
      <c r="A306" s="50" t="n"/>
      <c r="B306" s="50" t="n"/>
      <c r="C306" s="50" t="n"/>
      <c r="D306" s="50" t="n"/>
      <c r="E306" s="51" t="n"/>
      <c r="F306" s="51" t="n"/>
      <c r="G306" s="52">
        <f>IF(E306="","",E306-TODAY())</f>
        <v/>
      </c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3">
        <f>IF(B306="","",IF(COUNTBLANK(J306:O306)=6,"",IF(COUNTIF(J306:O306,"Красный")&gt;0,"Красный",IF(COUNTIF(J306:O306,"Жёлтый")&gt;0,"Жёлтый",IF(COUNTIF(J306:O306,"Не начат")&gt;0,"Не начат","Зелёный")))))</f>
        <v/>
      </c>
      <c r="Q306" s="50" t="n"/>
      <c r="R306" s="50" t="n"/>
      <c r="S306" s="50" t="n"/>
    </row>
    <row r="307" ht="15" customHeight="1" s="32">
      <c r="A307" s="50" t="n"/>
      <c r="B307" s="50" t="n"/>
      <c r="C307" s="50" t="n"/>
      <c r="D307" s="50" t="n"/>
      <c r="E307" s="51" t="n"/>
      <c r="F307" s="51" t="n"/>
      <c r="G307" s="52">
        <f>IF(E307="","",E307-TODAY())</f>
        <v/>
      </c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3">
        <f>IF(B307="","",IF(COUNTBLANK(J307:O307)=6,"",IF(COUNTIF(J307:O307,"Красный")&gt;0,"Красный",IF(COUNTIF(J307:O307,"Жёлтый")&gt;0,"Жёлтый",IF(COUNTIF(J307:O307,"Не начат")&gt;0,"Не начат","Зелёный")))))</f>
        <v/>
      </c>
      <c r="Q307" s="50" t="n"/>
      <c r="R307" s="50" t="n"/>
      <c r="S307" s="50" t="n"/>
    </row>
    <row r="308" ht="15" customHeight="1" s="32">
      <c r="A308" s="50" t="n"/>
      <c r="B308" s="50" t="n"/>
      <c r="C308" s="50" t="n"/>
      <c r="D308" s="50" t="n"/>
      <c r="E308" s="51" t="n"/>
      <c r="F308" s="51" t="n"/>
      <c r="G308" s="52">
        <f>IF(E308="","",E308-TODAY())</f>
        <v/>
      </c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3">
        <f>IF(B308="","",IF(COUNTBLANK(J308:O308)=6,"",IF(COUNTIF(J308:O308,"Красный")&gt;0,"Красный",IF(COUNTIF(J308:O308,"Жёлтый")&gt;0,"Жёлтый",IF(COUNTIF(J308:O308,"Не начат")&gt;0,"Не начат","Зелёный")))))</f>
        <v/>
      </c>
      <c r="Q308" s="50" t="n"/>
      <c r="R308" s="50" t="n"/>
      <c r="S308" s="50" t="n"/>
    </row>
    <row r="309" ht="15" customHeight="1" s="32">
      <c r="A309" s="50" t="n"/>
      <c r="B309" s="50" t="n"/>
      <c r="C309" s="50" t="n"/>
      <c r="D309" s="50" t="n"/>
      <c r="E309" s="51" t="n"/>
      <c r="F309" s="51" t="n"/>
      <c r="G309" s="52">
        <f>IF(E309="","",E309-TODAY())</f>
        <v/>
      </c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3">
        <f>IF(B309="","",IF(COUNTBLANK(J309:O309)=6,"",IF(COUNTIF(J309:O309,"Красный")&gt;0,"Красный",IF(COUNTIF(J309:O309,"Жёлтый")&gt;0,"Жёлтый",IF(COUNTIF(J309:O309,"Не начат")&gt;0,"Не начат","Зелёный")))))</f>
        <v/>
      </c>
      <c r="Q309" s="50" t="n"/>
      <c r="R309" s="50" t="n"/>
      <c r="S309" s="50" t="n"/>
    </row>
    <row r="310" ht="15" customHeight="1" s="32">
      <c r="A310" s="50" t="n"/>
      <c r="B310" s="50" t="n"/>
      <c r="C310" s="50" t="n"/>
      <c r="D310" s="50" t="n"/>
      <c r="E310" s="51" t="n"/>
      <c r="F310" s="51" t="n"/>
      <c r="G310" s="52">
        <f>IF(E310="","",E310-TODAY())</f>
        <v/>
      </c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3">
        <f>IF(B310="","",IF(COUNTBLANK(J310:O310)=6,"",IF(COUNTIF(J310:O310,"Красный")&gt;0,"Красный",IF(COUNTIF(J310:O310,"Жёлтый")&gt;0,"Жёлтый",IF(COUNTIF(J310:O310,"Не начат")&gt;0,"Не начат","Зелёный")))))</f>
        <v/>
      </c>
      <c r="Q310" s="50" t="n"/>
      <c r="R310" s="50" t="n"/>
      <c r="S310" s="50" t="n"/>
    </row>
    <row r="311" ht="15" customHeight="1" s="32">
      <c r="A311" s="50" t="n"/>
      <c r="B311" s="50" t="n"/>
      <c r="C311" s="50" t="n"/>
      <c r="D311" s="50" t="n"/>
      <c r="E311" s="51" t="n"/>
      <c r="F311" s="51" t="n"/>
      <c r="G311" s="52">
        <f>IF(E311="","",E311-TODAY())</f>
        <v/>
      </c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3">
        <f>IF(B311="","",IF(COUNTBLANK(J311:O311)=6,"",IF(COUNTIF(J311:O311,"Красный")&gt;0,"Красный",IF(COUNTIF(J311:O311,"Жёлтый")&gt;0,"Жёлтый",IF(COUNTIF(J311:O311,"Не начат")&gt;0,"Не начат","Зелёный")))))</f>
        <v/>
      </c>
      <c r="Q311" s="50" t="n"/>
      <c r="R311" s="50" t="n"/>
      <c r="S311" s="50" t="n"/>
    </row>
    <row r="312" ht="15" customHeight="1" s="32">
      <c r="A312" s="50" t="n"/>
      <c r="B312" s="50" t="n"/>
      <c r="C312" s="50" t="n"/>
      <c r="D312" s="50" t="n"/>
      <c r="E312" s="51" t="n"/>
      <c r="F312" s="51" t="n"/>
      <c r="G312" s="52">
        <f>IF(E312="","",E312-TODAY())</f>
        <v/>
      </c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3">
        <f>IF(B312="","",IF(COUNTBLANK(J312:O312)=6,"",IF(COUNTIF(J312:O312,"Красный")&gt;0,"Красный",IF(COUNTIF(J312:O312,"Жёлтый")&gt;0,"Жёлтый",IF(COUNTIF(J312:O312,"Не начат")&gt;0,"Не начат","Зелёный")))))</f>
        <v/>
      </c>
      <c r="Q312" s="50" t="n"/>
      <c r="R312" s="50" t="n"/>
      <c r="S312" s="50" t="n"/>
    </row>
    <row r="313" ht="15" customHeight="1" s="32">
      <c r="A313" s="50" t="n"/>
      <c r="B313" s="50" t="n"/>
      <c r="C313" s="50" t="n"/>
      <c r="D313" s="50" t="n"/>
      <c r="E313" s="51" t="n"/>
      <c r="F313" s="51" t="n"/>
      <c r="G313" s="52">
        <f>IF(E313="","",E313-TODAY())</f>
        <v/>
      </c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3">
        <f>IF(B313="","",IF(COUNTBLANK(J313:O313)=6,"",IF(COUNTIF(J313:O313,"Красный")&gt;0,"Красный",IF(COUNTIF(J313:O313,"Жёлтый")&gt;0,"Жёлтый",IF(COUNTIF(J313:O313,"Не начат")&gt;0,"Не начат","Зелёный")))))</f>
        <v/>
      </c>
      <c r="Q313" s="50" t="n"/>
      <c r="R313" s="50" t="n"/>
      <c r="S313" s="50" t="n"/>
    </row>
    <row r="314" ht="15" customHeight="1" s="32">
      <c r="A314" s="50" t="n"/>
      <c r="B314" s="50" t="n"/>
      <c r="C314" s="50" t="n"/>
      <c r="D314" s="50" t="n"/>
      <c r="E314" s="51" t="n"/>
      <c r="F314" s="51" t="n"/>
      <c r="G314" s="52">
        <f>IF(E314="","",E314-TODAY())</f>
        <v/>
      </c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3">
        <f>IF(B314="","",IF(COUNTBLANK(J314:O314)=6,"",IF(COUNTIF(J314:O314,"Красный")&gt;0,"Красный",IF(COUNTIF(J314:O314,"Жёлтый")&gt;0,"Жёлтый",IF(COUNTIF(J314:O314,"Не начат")&gt;0,"Не начат","Зелёный")))))</f>
        <v/>
      </c>
      <c r="Q314" s="50" t="n"/>
      <c r="R314" s="50" t="n"/>
      <c r="S314" s="50" t="n"/>
    </row>
    <row r="315" ht="15" customHeight="1" s="32">
      <c r="A315" s="50" t="n"/>
      <c r="B315" s="50" t="n"/>
      <c r="C315" s="50" t="n"/>
      <c r="D315" s="50" t="n"/>
      <c r="E315" s="51" t="n"/>
      <c r="F315" s="51" t="n"/>
      <c r="G315" s="52">
        <f>IF(E315="","",E315-TODAY())</f>
        <v/>
      </c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3">
        <f>IF(B315="","",IF(COUNTBLANK(J315:O315)=6,"",IF(COUNTIF(J315:O315,"Красный")&gt;0,"Красный",IF(COUNTIF(J315:O315,"Жёлтый")&gt;0,"Жёлтый",IF(COUNTIF(J315:O315,"Не начат")&gt;0,"Не начат","Зелёный")))))</f>
        <v/>
      </c>
      <c r="Q315" s="50" t="n"/>
      <c r="R315" s="50" t="n"/>
      <c r="S315" s="50" t="n"/>
    </row>
    <row r="316" ht="15" customHeight="1" s="32">
      <c r="A316" s="50" t="n"/>
      <c r="B316" s="50" t="n"/>
      <c r="C316" s="50" t="n"/>
      <c r="D316" s="50" t="n"/>
      <c r="E316" s="51" t="n"/>
      <c r="F316" s="51" t="n"/>
      <c r="G316" s="52">
        <f>IF(E316="","",E316-TODAY())</f>
        <v/>
      </c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3">
        <f>IF(B316="","",IF(COUNTBLANK(J316:O316)=6,"",IF(COUNTIF(J316:O316,"Красный")&gt;0,"Красный",IF(COUNTIF(J316:O316,"Жёлтый")&gt;0,"Жёлтый",IF(COUNTIF(J316:O316,"Не начат")&gt;0,"Не начат","Зелёный")))))</f>
        <v/>
      </c>
      <c r="Q316" s="50" t="n"/>
      <c r="R316" s="50" t="n"/>
      <c r="S316" s="50" t="n"/>
    </row>
    <row r="317" ht="15" customHeight="1" s="32">
      <c r="A317" s="50" t="n"/>
      <c r="B317" s="50" t="n"/>
      <c r="C317" s="50" t="n"/>
      <c r="D317" s="50" t="n"/>
      <c r="E317" s="51" t="n"/>
      <c r="F317" s="51" t="n"/>
      <c r="G317" s="52">
        <f>IF(E317="","",E317-TODAY())</f>
        <v/>
      </c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3">
        <f>IF(B317="","",IF(COUNTBLANK(J317:O317)=6,"",IF(COUNTIF(J317:O317,"Красный")&gt;0,"Красный",IF(COUNTIF(J317:O317,"Жёлтый")&gt;0,"Жёлтый",IF(COUNTIF(J317:O317,"Не начат")&gt;0,"Не начат","Зелёный")))))</f>
        <v/>
      </c>
      <c r="Q317" s="50" t="n"/>
      <c r="R317" s="50" t="n"/>
      <c r="S317" s="50" t="n"/>
    </row>
    <row r="318" ht="15" customHeight="1" s="32">
      <c r="A318" s="50" t="n"/>
      <c r="B318" s="50" t="n"/>
      <c r="C318" s="50" t="n"/>
      <c r="D318" s="50" t="n"/>
      <c r="E318" s="51" t="n"/>
      <c r="F318" s="51" t="n"/>
      <c r="G318" s="52">
        <f>IF(E318="","",E318-TODAY())</f>
        <v/>
      </c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3">
        <f>IF(B318="","",IF(COUNTBLANK(J318:O318)=6,"",IF(COUNTIF(J318:O318,"Красный")&gt;0,"Красный",IF(COUNTIF(J318:O318,"Жёлтый")&gt;0,"Жёлтый",IF(COUNTIF(J318:O318,"Не начат")&gt;0,"Не начат","Зелёный")))))</f>
        <v/>
      </c>
      <c r="Q318" s="50" t="n"/>
      <c r="R318" s="50" t="n"/>
      <c r="S318" s="50" t="n"/>
    </row>
    <row r="319" ht="15" customHeight="1" s="32">
      <c r="A319" s="50" t="n"/>
      <c r="B319" s="50" t="n"/>
      <c r="C319" s="50" t="n"/>
      <c r="D319" s="50" t="n"/>
      <c r="E319" s="51" t="n"/>
      <c r="F319" s="51" t="n"/>
      <c r="G319" s="52">
        <f>IF(E319="","",E319-TODAY())</f>
        <v/>
      </c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3">
        <f>IF(B319="","",IF(COUNTBLANK(J319:O319)=6,"",IF(COUNTIF(J319:O319,"Красный")&gt;0,"Красный",IF(COUNTIF(J319:O319,"Жёлтый")&gt;0,"Жёлтый",IF(COUNTIF(J319:O319,"Не начат")&gt;0,"Не начат","Зелёный")))))</f>
        <v/>
      </c>
      <c r="Q319" s="50" t="n"/>
      <c r="R319" s="50" t="n"/>
      <c r="S319" s="50" t="n"/>
    </row>
    <row r="320" ht="15" customHeight="1" s="32">
      <c r="A320" s="50" t="n"/>
      <c r="B320" s="50" t="n"/>
      <c r="C320" s="50" t="n"/>
      <c r="D320" s="50" t="n"/>
      <c r="E320" s="51" t="n"/>
      <c r="F320" s="51" t="n"/>
      <c r="G320" s="52">
        <f>IF(E320="","",E320-TODAY())</f>
        <v/>
      </c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3">
        <f>IF(B320="","",IF(COUNTBLANK(J320:O320)=6,"",IF(COUNTIF(J320:O320,"Красный")&gt;0,"Красный",IF(COUNTIF(J320:O320,"Жёлтый")&gt;0,"Жёлтый",IF(COUNTIF(J320:O320,"Не начат")&gt;0,"Не начат","Зелёный")))))</f>
        <v/>
      </c>
      <c r="Q320" s="50" t="n"/>
      <c r="R320" s="50" t="n"/>
      <c r="S320" s="50" t="n"/>
    </row>
    <row r="321" ht="15" customHeight="1" s="32">
      <c r="A321" s="50" t="n"/>
      <c r="B321" s="50" t="n"/>
      <c r="C321" s="50" t="n"/>
      <c r="D321" s="50" t="n"/>
      <c r="E321" s="51" t="n"/>
      <c r="F321" s="51" t="n"/>
      <c r="G321" s="52">
        <f>IF(E321="","",E321-TODAY())</f>
        <v/>
      </c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3">
        <f>IF(B321="","",IF(COUNTBLANK(J321:O321)=6,"",IF(COUNTIF(J321:O321,"Красный")&gt;0,"Красный",IF(COUNTIF(J321:O321,"Жёлтый")&gt;0,"Жёлтый",IF(COUNTIF(J321:O321,"Не начат")&gt;0,"Не начат","Зелёный")))))</f>
        <v/>
      </c>
      <c r="Q321" s="50" t="n"/>
      <c r="R321" s="50" t="n"/>
      <c r="S321" s="50" t="n"/>
    </row>
    <row r="322" ht="15" customHeight="1" s="32">
      <c r="A322" s="50" t="n"/>
      <c r="B322" s="50" t="n"/>
      <c r="C322" s="50" t="n"/>
      <c r="D322" s="50" t="n"/>
      <c r="E322" s="51" t="n"/>
      <c r="F322" s="51" t="n"/>
      <c r="G322" s="52">
        <f>IF(E322="","",E322-TODAY())</f>
        <v/>
      </c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3">
        <f>IF(B322="","",IF(COUNTBLANK(J322:O322)=6,"",IF(COUNTIF(J322:O322,"Красный")&gt;0,"Красный",IF(COUNTIF(J322:O322,"Жёлтый")&gt;0,"Жёлтый",IF(COUNTIF(J322:O322,"Не начат")&gt;0,"Не начат","Зелёный")))))</f>
        <v/>
      </c>
      <c r="Q322" s="50" t="n"/>
      <c r="R322" s="50" t="n"/>
      <c r="S322" s="50" t="n"/>
    </row>
    <row r="323" ht="15" customHeight="1" s="32">
      <c r="A323" s="50" t="n"/>
      <c r="B323" s="50" t="n"/>
      <c r="C323" s="50" t="n"/>
      <c r="D323" s="50" t="n"/>
      <c r="E323" s="51" t="n"/>
      <c r="F323" s="51" t="n"/>
      <c r="G323" s="52">
        <f>IF(E323="","",E323-TODAY())</f>
        <v/>
      </c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3">
        <f>IF(B323="","",IF(COUNTBLANK(J323:O323)=6,"",IF(COUNTIF(J323:O323,"Красный")&gt;0,"Красный",IF(COUNTIF(J323:O323,"Жёлтый")&gt;0,"Жёлтый",IF(COUNTIF(J323:O323,"Не начат")&gt;0,"Не начат","Зелёный")))))</f>
        <v/>
      </c>
      <c r="Q323" s="50" t="n"/>
      <c r="R323" s="50" t="n"/>
      <c r="S323" s="50" t="n"/>
    </row>
    <row r="324" ht="15" customHeight="1" s="32">
      <c r="A324" s="50" t="n"/>
      <c r="B324" s="50" t="n"/>
      <c r="C324" s="50" t="n"/>
      <c r="D324" s="50" t="n"/>
      <c r="E324" s="51" t="n"/>
      <c r="F324" s="51" t="n"/>
      <c r="G324" s="52">
        <f>IF(E324="","",E324-TODAY())</f>
        <v/>
      </c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3">
        <f>IF(B324="","",IF(COUNTBLANK(J324:O324)=6,"",IF(COUNTIF(J324:O324,"Красный")&gt;0,"Красный",IF(COUNTIF(J324:O324,"Жёлтый")&gt;0,"Жёлтый",IF(COUNTIF(J324:O324,"Не начат")&gt;0,"Не начат","Зелёный")))))</f>
        <v/>
      </c>
      <c r="Q324" s="50" t="n"/>
      <c r="R324" s="50" t="n"/>
      <c r="S324" s="50" t="n"/>
    </row>
    <row r="325" ht="15" customHeight="1" s="32">
      <c r="A325" s="50" t="n"/>
      <c r="B325" s="50" t="n"/>
      <c r="C325" s="50" t="n"/>
      <c r="D325" s="50" t="n"/>
      <c r="E325" s="51" t="n"/>
      <c r="F325" s="51" t="n"/>
      <c r="G325" s="52">
        <f>IF(E325="","",E325-TODAY())</f>
        <v/>
      </c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3">
        <f>IF(B325="","",IF(COUNTBLANK(J325:O325)=6,"",IF(COUNTIF(J325:O325,"Красный")&gt;0,"Красный",IF(COUNTIF(J325:O325,"Жёлтый")&gt;0,"Жёлтый",IF(COUNTIF(J325:O325,"Не начат")&gt;0,"Не начат","Зелёный")))))</f>
        <v/>
      </c>
      <c r="Q325" s="50" t="n"/>
      <c r="R325" s="50" t="n"/>
      <c r="S325" s="50" t="n"/>
    </row>
    <row r="326" ht="15" customHeight="1" s="32">
      <c r="A326" s="50" t="n"/>
      <c r="B326" s="50" t="n"/>
      <c r="C326" s="50" t="n"/>
      <c r="D326" s="50" t="n"/>
      <c r="E326" s="51" t="n"/>
      <c r="F326" s="51" t="n"/>
      <c r="G326" s="52">
        <f>IF(E326="","",E326-TODAY())</f>
        <v/>
      </c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3">
        <f>IF(B326="","",IF(COUNTBLANK(J326:O326)=6,"",IF(COUNTIF(J326:O326,"Красный")&gt;0,"Красный",IF(COUNTIF(J326:O326,"Жёлтый")&gt;0,"Жёлтый",IF(COUNTIF(J326:O326,"Не начат")&gt;0,"Не начат","Зелёный")))))</f>
        <v/>
      </c>
      <c r="Q326" s="50" t="n"/>
      <c r="R326" s="50" t="n"/>
      <c r="S326" s="50" t="n"/>
    </row>
    <row r="327" ht="15" customHeight="1" s="32">
      <c r="A327" s="50" t="n"/>
      <c r="B327" s="50" t="n"/>
      <c r="C327" s="50" t="n"/>
      <c r="D327" s="50" t="n"/>
      <c r="E327" s="51" t="n"/>
      <c r="F327" s="51" t="n"/>
      <c r="G327" s="52">
        <f>IF(E327="","",E327-TODAY())</f>
        <v/>
      </c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3">
        <f>IF(B327="","",IF(COUNTBLANK(J327:O327)=6,"",IF(COUNTIF(J327:O327,"Красный")&gt;0,"Красный",IF(COUNTIF(J327:O327,"Жёлтый")&gt;0,"Жёлтый",IF(COUNTIF(J327:O327,"Не начат")&gt;0,"Не начат","Зелёный")))))</f>
        <v/>
      </c>
      <c r="Q327" s="50" t="n"/>
      <c r="R327" s="50" t="n"/>
      <c r="S327" s="50" t="n"/>
    </row>
    <row r="328" ht="15" customHeight="1" s="32">
      <c r="A328" s="50" t="n"/>
      <c r="B328" s="50" t="n"/>
      <c r="C328" s="50" t="n"/>
      <c r="D328" s="50" t="n"/>
      <c r="E328" s="51" t="n"/>
      <c r="F328" s="51" t="n"/>
      <c r="G328" s="52">
        <f>IF(E328="","",E328-TODAY())</f>
        <v/>
      </c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3">
        <f>IF(B328="","",IF(COUNTBLANK(J328:O328)=6,"",IF(COUNTIF(J328:O328,"Красный")&gt;0,"Красный",IF(COUNTIF(J328:O328,"Жёлтый")&gt;0,"Жёлтый",IF(COUNTIF(J328:O328,"Не начат")&gt;0,"Не начат","Зелёный")))))</f>
        <v/>
      </c>
      <c r="Q328" s="50" t="n"/>
      <c r="R328" s="50" t="n"/>
      <c r="S328" s="50" t="n"/>
    </row>
    <row r="329" ht="15" customHeight="1" s="32">
      <c r="A329" s="50" t="n"/>
      <c r="B329" s="50" t="n"/>
      <c r="C329" s="50" t="n"/>
      <c r="D329" s="50" t="n"/>
      <c r="E329" s="51" t="n"/>
      <c r="F329" s="51" t="n"/>
      <c r="G329" s="52">
        <f>IF(E329="","",E329-TODAY())</f>
        <v/>
      </c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3">
        <f>IF(B329="","",IF(COUNTBLANK(J329:O329)=6,"",IF(COUNTIF(J329:O329,"Красный")&gt;0,"Красный",IF(COUNTIF(J329:O329,"Жёлтый")&gt;0,"Жёлтый",IF(COUNTIF(J329:O329,"Не начат")&gt;0,"Не начат","Зелёный")))))</f>
        <v/>
      </c>
      <c r="Q329" s="50" t="n"/>
      <c r="R329" s="50" t="n"/>
      <c r="S329" s="50" t="n"/>
    </row>
    <row r="330" ht="15" customHeight="1" s="32">
      <c r="A330" s="50" t="n"/>
      <c r="B330" s="50" t="n"/>
      <c r="C330" s="50" t="n"/>
      <c r="D330" s="50" t="n"/>
      <c r="E330" s="51" t="n"/>
      <c r="F330" s="51" t="n"/>
      <c r="G330" s="52">
        <f>IF(E330="","",E330-TODAY())</f>
        <v/>
      </c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3">
        <f>IF(B330="","",IF(COUNTBLANK(J330:O330)=6,"",IF(COUNTIF(J330:O330,"Красный")&gt;0,"Красный",IF(COUNTIF(J330:O330,"Жёлтый")&gt;0,"Жёлтый",IF(COUNTIF(J330:O330,"Не начат")&gt;0,"Не начат","Зелёный")))))</f>
        <v/>
      </c>
      <c r="Q330" s="50" t="n"/>
      <c r="R330" s="50" t="n"/>
      <c r="S330" s="50" t="n"/>
    </row>
    <row r="331" ht="15" customHeight="1" s="32">
      <c r="A331" s="50" t="n"/>
      <c r="B331" s="50" t="n"/>
      <c r="C331" s="50" t="n"/>
      <c r="D331" s="50" t="n"/>
      <c r="E331" s="51" t="n"/>
      <c r="F331" s="51" t="n"/>
      <c r="G331" s="52">
        <f>IF(E331="","",E331-TODAY())</f>
        <v/>
      </c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3">
        <f>IF(B331="","",IF(COUNTBLANK(J331:O331)=6,"",IF(COUNTIF(J331:O331,"Красный")&gt;0,"Красный",IF(COUNTIF(J331:O331,"Жёлтый")&gt;0,"Жёлтый",IF(COUNTIF(J331:O331,"Не начат")&gt;0,"Не начат","Зелёный")))))</f>
        <v/>
      </c>
      <c r="Q331" s="50" t="n"/>
      <c r="R331" s="50" t="n"/>
      <c r="S331" s="50" t="n"/>
    </row>
    <row r="332" ht="15" customHeight="1" s="32">
      <c r="A332" s="50" t="n"/>
      <c r="B332" s="50" t="n"/>
      <c r="C332" s="50" t="n"/>
      <c r="D332" s="50" t="n"/>
      <c r="E332" s="51" t="n"/>
      <c r="F332" s="51" t="n"/>
      <c r="G332" s="52">
        <f>IF(E332="","",E332-TODAY())</f>
        <v/>
      </c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3">
        <f>IF(B332="","",IF(COUNTBLANK(J332:O332)=6,"",IF(COUNTIF(J332:O332,"Красный")&gt;0,"Красный",IF(COUNTIF(J332:O332,"Жёлтый")&gt;0,"Жёлтый",IF(COUNTIF(J332:O332,"Не начат")&gt;0,"Не начат","Зелёный")))))</f>
        <v/>
      </c>
      <c r="Q332" s="50" t="n"/>
      <c r="R332" s="50" t="n"/>
      <c r="S332" s="50" t="n"/>
    </row>
    <row r="333" ht="15" customHeight="1" s="32">
      <c r="A333" s="50" t="n"/>
      <c r="B333" s="50" t="n"/>
      <c r="C333" s="50" t="n"/>
      <c r="D333" s="50" t="n"/>
      <c r="E333" s="51" t="n"/>
      <c r="F333" s="51" t="n"/>
      <c r="G333" s="52">
        <f>IF(E333="","",E333-TODAY())</f>
        <v/>
      </c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3">
        <f>IF(B333="","",IF(COUNTBLANK(J333:O333)=6,"",IF(COUNTIF(J333:O333,"Красный")&gt;0,"Красный",IF(COUNTIF(J333:O333,"Жёлтый")&gt;0,"Жёлтый",IF(COUNTIF(J333:O333,"Не начат")&gt;0,"Не начат","Зелёный")))))</f>
        <v/>
      </c>
      <c r="Q333" s="50" t="n"/>
      <c r="R333" s="50" t="n"/>
      <c r="S333" s="50" t="n"/>
    </row>
    <row r="334" ht="15" customHeight="1" s="32">
      <c r="A334" s="50" t="n"/>
      <c r="B334" s="50" t="n"/>
      <c r="C334" s="50" t="n"/>
      <c r="D334" s="50" t="n"/>
      <c r="E334" s="51" t="n"/>
      <c r="F334" s="51" t="n"/>
      <c r="G334" s="52">
        <f>IF(E334="","",E334-TODAY())</f>
        <v/>
      </c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3">
        <f>IF(B334="","",IF(COUNTBLANK(J334:O334)=6,"",IF(COUNTIF(J334:O334,"Красный")&gt;0,"Красный",IF(COUNTIF(J334:O334,"Жёлтый")&gt;0,"Жёлтый",IF(COUNTIF(J334:O334,"Не начат")&gt;0,"Не начат","Зелёный")))))</f>
        <v/>
      </c>
      <c r="Q334" s="50" t="n"/>
      <c r="R334" s="50" t="n"/>
      <c r="S334" s="50" t="n"/>
    </row>
    <row r="335" ht="15" customHeight="1" s="32">
      <c r="A335" s="50" t="n"/>
      <c r="B335" s="50" t="n"/>
      <c r="C335" s="50" t="n"/>
      <c r="D335" s="50" t="n"/>
      <c r="E335" s="51" t="n"/>
      <c r="F335" s="51" t="n"/>
      <c r="G335" s="52">
        <f>IF(E335="","",E335-TODAY())</f>
        <v/>
      </c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3">
        <f>IF(B335="","",IF(COUNTBLANK(J335:O335)=6,"",IF(COUNTIF(J335:O335,"Красный")&gt;0,"Красный",IF(COUNTIF(J335:O335,"Жёлтый")&gt;0,"Жёлтый",IF(COUNTIF(J335:O335,"Не начат")&gt;0,"Не начат","Зелёный")))))</f>
        <v/>
      </c>
      <c r="Q335" s="50" t="n"/>
      <c r="R335" s="50" t="n"/>
      <c r="S335" s="50" t="n"/>
    </row>
    <row r="336" ht="15" customHeight="1" s="32">
      <c r="A336" s="50" t="n"/>
      <c r="B336" s="50" t="n"/>
      <c r="C336" s="50" t="n"/>
      <c r="D336" s="50" t="n"/>
      <c r="E336" s="51" t="n"/>
      <c r="F336" s="51" t="n"/>
      <c r="G336" s="52">
        <f>IF(E336="","",E336-TODAY())</f>
        <v/>
      </c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3">
        <f>IF(B336="","",IF(COUNTBLANK(J336:O336)=6,"",IF(COUNTIF(J336:O336,"Красный")&gt;0,"Красный",IF(COUNTIF(J336:O336,"Жёлтый")&gt;0,"Жёлтый",IF(COUNTIF(J336:O336,"Не начат")&gt;0,"Не начат","Зелёный")))))</f>
        <v/>
      </c>
      <c r="Q336" s="50" t="n"/>
      <c r="R336" s="50" t="n"/>
      <c r="S336" s="50" t="n"/>
    </row>
    <row r="337" ht="15" customHeight="1" s="32">
      <c r="A337" s="50" t="n"/>
      <c r="B337" s="50" t="n"/>
      <c r="C337" s="50" t="n"/>
      <c r="D337" s="50" t="n"/>
      <c r="E337" s="51" t="n"/>
      <c r="F337" s="51" t="n"/>
      <c r="G337" s="52">
        <f>IF(E337="","",E337-TODAY())</f>
        <v/>
      </c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3">
        <f>IF(B337="","",IF(COUNTBLANK(J337:O337)=6,"",IF(COUNTIF(J337:O337,"Красный")&gt;0,"Красный",IF(COUNTIF(J337:O337,"Жёлтый")&gt;0,"Жёлтый",IF(COUNTIF(J337:O337,"Не начат")&gt;0,"Не начат","Зелёный")))))</f>
        <v/>
      </c>
      <c r="Q337" s="50" t="n"/>
      <c r="R337" s="50" t="n"/>
      <c r="S337" s="50" t="n"/>
    </row>
    <row r="338" ht="15" customHeight="1" s="32">
      <c r="A338" s="50" t="n"/>
      <c r="B338" s="50" t="n"/>
      <c r="C338" s="50" t="n"/>
      <c r="D338" s="50" t="n"/>
      <c r="E338" s="51" t="n"/>
      <c r="F338" s="51" t="n"/>
      <c r="G338" s="52">
        <f>IF(E338="","",E338-TODAY())</f>
        <v/>
      </c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3">
        <f>IF(B338="","",IF(COUNTBLANK(J338:O338)=6,"",IF(COUNTIF(J338:O338,"Красный")&gt;0,"Красный",IF(COUNTIF(J338:O338,"Жёлтый")&gt;0,"Жёлтый",IF(COUNTIF(J338:O338,"Не начат")&gt;0,"Не начат","Зелёный")))))</f>
        <v/>
      </c>
      <c r="Q338" s="50" t="n"/>
      <c r="R338" s="50" t="n"/>
      <c r="S338" s="50" t="n"/>
    </row>
    <row r="339" ht="15" customHeight="1" s="32">
      <c r="A339" s="50" t="n"/>
      <c r="B339" s="50" t="n"/>
      <c r="C339" s="50" t="n"/>
      <c r="D339" s="50" t="n"/>
      <c r="E339" s="51" t="n"/>
      <c r="F339" s="51" t="n"/>
      <c r="G339" s="52">
        <f>IF(E339="","",E339-TODAY())</f>
        <v/>
      </c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3">
        <f>IF(B339="","",IF(COUNTBLANK(J339:O339)=6,"",IF(COUNTIF(J339:O339,"Красный")&gt;0,"Красный",IF(COUNTIF(J339:O339,"Жёлтый")&gt;0,"Жёлтый",IF(COUNTIF(J339:O339,"Не начат")&gt;0,"Не начат","Зелёный")))))</f>
        <v/>
      </c>
      <c r="Q339" s="50" t="n"/>
      <c r="R339" s="50" t="n"/>
      <c r="S339" s="50" t="n"/>
    </row>
    <row r="340" ht="15" customHeight="1" s="32">
      <c r="A340" s="50" t="n"/>
      <c r="B340" s="50" t="n"/>
      <c r="C340" s="50" t="n"/>
      <c r="D340" s="50" t="n"/>
      <c r="E340" s="51" t="n"/>
      <c r="F340" s="51" t="n"/>
      <c r="G340" s="52">
        <f>IF(E340="","",E340-TODAY())</f>
        <v/>
      </c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3">
        <f>IF(B340="","",IF(COUNTBLANK(J340:O340)=6,"",IF(COUNTIF(J340:O340,"Красный")&gt;0,"Красный",IF(COUNTIF(J340:O340,"Жёлтый")&gt;0,"Жёлтый",IF(COUNTIF(J340:O340,"Не начат")&gt;0,"Не начат","Зелёный")))))</f>
        <v/>
      </c>
      <c r="Q340" s="50" t="n"/>
      <c r="R340" s="50" t="n"/>
      <c r="S340" s="50" t="n"/>
    </row>
    <row r="341" ht="15" customHeight="1" s="32">
      <c r="A341" s="50" t="n"/>
      <c r="B341" s="50" t="n"/>
      <c r="C341" s="50" t="n"/>
      <c r="D341" s="50" t="n"/>
      <c r="E341" s="51" t="n"/>
      <c r="F341" s="51" t="n"/>
      <c r="G341" s="52">
        <f>IF(E341="","",E341-TODAY())</f>
        <v/>
      </c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3">
        <f>IF(B341="","",IF(COUNTBLANK(J341:O341)=6,"",IF(COUNTIF(J341:O341,"Красный")&gt;0,"Красный",IF(COUNTIF(J341:O341,"Жёлтый")&gt;0,"Жёлтый",IF(COUNTIF(J341:O341,"Не начат")&gt;0,"Не начат","Зелёный")))))</f>
        <v/>
      </c>
      <c r="Q341" s="50" t="n"/>
      <c r="R341" s="50" t="n"/>
      <c r="S341" s="50" t="n"/>
    </row>
    <row r="342" ht="15" customHeight="1" s="32">
      <c r="A342" s="50" t="n"/>
      <c r="B342" s="50" t="n"/>
      <c r="C342" s="50" t="n"/>
      <c r="D342" s="50" t="n"/>
      <c r="E342" s="51" t="n"/>
      <c r="F342" s="51" t="n"/>
      <c r="G342" s="52">
        <f>IF(E342="","",E342-TODAY())</f>
        <v/>
      </c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3">
        <f>IF(B342="","",IF(COUNTBLANK(J342:O342)=6,"",IF(COUNTIF(J342:O342,"Красный")&gt;0,"Красный",IF(COUNTIF(J342:O342,"Жёлтый")&gt;0,"Жёлтый",IF(COUNTIF(J342:O342,"Не начат")&gt;0,"Не начат","Зелёный")))))</f>
        <v/>
      </c>
      <c r="Q342" s="50" t="n"/>
      <c r="R342" s="50" t="n"/>
      <c r="S342" s="50" t="n"/>
    </row>
    <row r="343" ht="15" customHeight="1" s="32">
      <c r="A343" s="50" t="n"/>
      <c r="B343" s="50" t="n"/>
      <c r="C343" s="50" t="n"/>
      <c r="D343" s="50" t="n"/>
      <c r="E343" s="51" t="n"/>
      <c r="F343" s="51" t="n"/>
      <c r="G343" s="52">
        <f>IF(E343="","",E343-TODAY())</f>
        <v/>
      </c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3">
        <f>IF(B343="","",IF(COUNTBLANK(J343:O343)=6,"",IF(COUNTIF(J343:O343,"Красный")&gt;0,"Красный",IF(COUNTIF(J343:O343,"Жёлтый")&gt;0,"Жёлтый",IF(COUNTIF(J343:O343,"Не начат")&gt;0,"Не начат","Зелёный")))))</f>
        <v/>
      </c>
      <c r="Q343" s="50" t="n"/>
      <c r="R343" s="50" t="n"/>
      <c r="S343" s="50" t="n"/>
    </row>
    <row r="344" ht="15" customHeight="1" s="32">
      <c r="A344" s="50" t="n"/>
      <c r="B344" s="50" t="n"/>
      <c r="C344" s="50" t="n"/>
      <c r="D344" s="50" t="n"/>
      <c r="E344" s="51" t="n"/>
      <c r="F344" s="51" t="n"/>
      <c r="G344" s="52">
        <f>IF(E344="","",E344-TODAY())</f>
        <v/>
      </c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3">
        <f>IF(B344="","",IF(COUNTBLANK(J344:O344)=6,"",IF(COUNTIF(J344:O344,"Красный")&gt;0,"Красный",IF(COUNTIF(J344:O344,"Жёлтый")&gt;0,"Жёлтый",IF(COUNTIF(J344:O344,"Не начат")&gt;0,"Не начат","Зелёный")))))</f>
        <v/>
      </c>
      <c r="Q344" s="50" t="n"/>
      <c r="R344" s="50" t="n"/>
      <c r="S344" s="50" t="n"/>
    </row>
    <row r="345" ht="15" customHeight="1" s="32">
      <c r="A345" s="50" t="n"/>
      <c r="B345" s="50" t="n"/>
      <c r="C345" s="50" t="n"/>
      <c r="D345" s="50" t="n"/>
      <c r="E345" s="51" t="n"/>
      <c r="F345" s="51" t="n"/>
      <c r="G345" s="52">
        <f>IF(E345="","",E345-TODAY())</f>
        <v/>
      </c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3">
        <f>IF(B345="","",IF(COUNTBLANK(J345:O345)=6,"",IF(COUNTIF(J345:O345,"Красный")&gt;0,"Красный",IF(COUNTIF(J345:O345,"Жёлтый")&gt;0,"Жёлтый",IF(COUNTIF(J345:O345,"Не начат")&gt;0,"Не начат","Зелёный")))))</f>
        <v/>
      </c>
      <c r="Q345" s="50" t="n"/>
      <c r="R345" s="50" t="n"/>
      <c r="S345" s="50" t="n"/>
    </row>
    <row r="346" ht="15" customHeight="1" s="32">
      <c r="A346" s="50" t="n"/>
      <c r="B346" s="50" t="n"/>
      <c r="C346" s="50" t="n"/>
      <c r="D346" s="50" t="n"/>
      <c r="E346" s="51" t="n"/>
      <c r="F346" s="51" t="n"/>
      <c r="G346" s="52">
        <f>IF(E346="","",E346-TODAY())</f>
        <v/>
      </c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3">
        <f>IF(B346="","",IF(COUNTBLANK(J346:O346)=6,"",IF(COUNTIF(J346:O346,"Красный")&gt;0,"Красный",IF(COUNTIF(J346:O346,"Жёлтый")&gt;0,"Жёлтый",IF(COUNTIF(J346:O346,"Не начат")&gt;0,"Не начат","Зелёный")))))</f>
        <v/>
      </c>
      <c r="Q346" s="50" t="n"/>
      <c r="R346" s="50" t="n"/>
      <c r="S346" s="50" t="n"/>
    </row>
    <row r="347" ht="15" customHeight="1" s="32">
      <c r="A347" s="50" t="n"/>
      <c r="B347" s="50" t="n"/>
      <c r="C347" s="50" t="n"/>
      <c r="D347" s="50" t="n"/>
      <c r="E347" s="51" t="n"/>
      <c r="F347" s="51" t="n"/>
      <c r="G347" s="52">
        <f>IF(E347="","",E347-TODAY())</f>
        <v/>
      </c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3">
        <f>IF(B347="","",IF(COUNTBLANK(J347:O347)=6,"",IF(COUNTIF(J347:O347,"Красный")&gt;0,"Красный",IF(COUNTIF(J347:O347,"Жёлтый")&gt;0,"Жёлтый",IF(COUNTIF(J347:O347,"Не начат")&gt;0,"Не начат","Зелёный")))))</f>
        <v/>
      </c>
      <c r="Q347" s="50" t="n"/>
      <c r="R347" s="50" t="n"/>
      <c r="S347" s="50" t="n"/>
    </row>
    <row r="348" ht="15" customHeight="1" s="32">
      <c r="A348" s="50" t="n"/>
      <c r="B348" s="50" t="n"/>
      <c r="C348" s="50" t="n"/>
      <c r="D348" s="50" t="n"/>
      <c r="E348" s="51" t="n"/>
      <c r="F348" s="51" t="n"/>
      <c r="G348" s="52">
        <f>IF(E348="","",E348-TODAY())</f>
        <v/>
      </c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3">
        <f>IF(B348="","",IF(COUNTBLANK(J348:O348)=6,"",IF(COUNTIF(J348:O348,"Красный")&gt;0,"Красный",IF(COUNTIF(J348:O348,"Жёлтый")&gt;0,"Жёлтый",IF(COUNTIF(J348:O348,"Не начат")&gt;0,"Не начат","Зелёный")))))</f>
        <v/>
      </c>
      <c r="Q348" s="50" t="n"/>
      <c r="R348" s="50" t="n"/>
      <c r="S348" s="50" t="n"/>
    </row>
    <row r="349" ht="15" customHeight="1" s="32">
      <c r="A349" s="50" t="n"/>
      <c r="B349" s="50" t="n"/>
      <c r="C349" s="50" t="n"/>
      <c r="D349" s="50" t="n"/>
      <c r="E349" s="51" t="n"/>
      <c r="F349" s="51" t="n"/>
      <c r="G349" s="52">
        <f>IF(E349="","",E349-TODAY())</f>
        <v/>
      </c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3">
        <f>IF(B349="","",IF(COUNTBLANK(J349:O349)=6,"",IF(COUNTIF(J349:O349,"Красный")&gt;0,"Красный",IF(COUNTIF(J349:O349,"Жёлтый")&gt;0,"Жёлтый",IF(COUNTIF(J349:O349,"Не начат")&gt;0,"Не начат","Зелёный")))))</f>
        <v/>
      </c>
      <c r="Q349" s="50" t="n"/>
      <c r="R349" s="50" t="n"/>
      <c r="S349" s="50" t="n"/>
    </row>
    <row r="350" ht="15" customHeight="1" s="32">
      <c r="A350" s="50" t="n"/>
      <c r="B350" s="50" t="n"/>
      <c r="C350" s="50" t="n"/>
      <c r="D350" s="50" t="n"/>
      <c r="E350" s="51" t="n"/>
      <c r="F350" s="51" t="n"/>
      <c r="G350" s="52">
        <f>IF(E350="","",E350-TODAY())</f>
        <v/>
      </c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3">
        <f>IF(B350="","",IF(COUNTBLANK(J350:O350)=6,"",IF(COUNTIF(J350:O350,"Красный")&gt;0,"Красный",IF(COUNTIF(J350:O350,"Жёлтый")&gt;0,"Жёлтый",IF(COUNTIF(J350:O350,"Не начат")&gt;0,"Не начат","Зелёный")))))</f>
        <v/>
      </c>
      <c r="Q350" s="50" t="n"/>
      <c r="R350" s="50" t="n"/>
      <c r="S350" s="50" t="n"/>
    </row>
    <row r="351" ht="15" customHeight="1" s="32">
      <c r="A351" s="50" t="n"/>
      <c r="B351" s="50" t="n"/>
      <c r="C351" s="50" t="n"/>
      <c r="D351" s="50" t="n"/>
      <c r="E351" s="51" t="n"/>
      <c r="F351" s="51" t="n"/>
      <c r="G351" s="52">
        <f>IF(E351="","",E351-TODAY())</f>
        <v/>
      </c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3">
        <f>IF(B351="","",IF(COUNTBLANK(J351:O351)=6,"",IF(COUNTIF(J351:O351,"Красный")&gt;0,"Красный",IF(COUNTIF(J351:O351,"Жёлтый")&gt;0,"Жёлтый",IF(COUNTIF(J351:O351,"Не начат")&gt;0,"Не начат","Зелёный")))))</f>
        <v/>
      </c>
      <c r="Q351" s="50" t="n"/>
      <c r="R351" s="50" t="n"/>
      <c r="S351" s="50" t="n"/>
    </row>
    <row r="352" ht="15" customHeight="1" s="32">
      <c r="A352" s="50" t="n"/>
      <c r="B352" s="50" t="n"/>
      <c r="C352" s="50" t="n"/>
      <c r="D352" s="50" t="n"/>
      <c r="E352" s="51" t="n"/>
      <c r="F352" s="51" t="n"/>
      <c r="G352" s="52">
        <f>IF(E352="","",E352-TODAY())</f>
        <v/>
      </c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3">
        <f>IF(B352="","",IF(COUNTBLANK(J352:O352)=6,"",IF(COUNTIF(J352:O352,"Красный")&gt;0,"Красный",IF(COUNTIF(J352:O352,"Жёлтый")&gt;0,"Жёлтый",IF(COUNTIF(J352:O352,"Не начат")&gt;0,"Не начат","Зелёный")))))</f>
        <v/>
      </c>
      <c r="Q352" s="50" t="n"/>
      <c r="R352" s="50" t="n"/>
      <c r="S352" s="50" t="n"/>
    </row>
    <row r="353" ht="15" customHeight="1" s="32">
      <c r="A353" s="50" t="n"/>
      <c r="B353" s="50" t="n"/>
      <c r="C353" s="50" t="n"/>
      <c r="D353" s="50" t="n"/>
      <c r="E353" s="51" t="n"/>
      <c r="F353" s="51" t="n"/>
      <c r="G353" s="52">
        <f>IF(E353="","",E353-TODAY())</f>
        <v/>
      </c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3">
        <f>IF(B353="","",IF(COUNTBLANK(J353:O353)=6,"",IF(COUNTIF(J353:O353,"Красный")&gt;0,"Красный",IF(COUNTIF(J353:O353,"Жёлтый")&gt;0,"Жёлтый",IF(COUNTIF(J353:O353,"Не начат")&gt;0,"Не начат","Зелёный")))))</f>
        <v/>
      </c>
      <c r="Q353" s="50" t="n"/>
      <c r="R353" s="50" t="n"/>
      <c r="S353" s="50" t="n"/>
    </row>
    <row r="354" ht="15" customHeight="1" s="32">
      <c r="A354" s="50" t="n"/>
      <c r="B354" s="50" t="n"/>
      <c r="C354" s="50" t="n"/>
      <c r="D354" s="50" t="n"/>
      <c r="E354" s="51" t="n"/>
      <c r="F354" s="51" t="n"/>
      <c r="G354" s="52">
        <f>IF(E354="","",E354-TODAY())</f>
        <v/>
      </c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3">
        <f>IF(B354="","",IF(COUNTBLANK(J354:O354)=6,"",IF(COUNTIF(J354:O354,"Красный")&gt;0,"Красный",IF(COUNTIF(J354:O354,"Жёлтый")&gt;0,"Жёлтый",IF(COUNTIF(J354:O354,"Не начат")&gt;0,"Не начат","Зелёный")))))</f>
        <v/>
      </c>
      <c r="Q354" s="50" t="n"/>
      <c r="R354" s="50" t="n"/>
      <c r="S354" s="50" t="n"/>
    </row>
    <row r="355" ht="15" customHeight="1" s="32">
      <c r="A355" s="50" t="n"/>
      <c r="B355" s="50" t="n"/>
      <c r="C355" s="50" t="n"/>
      <c r="D355" s="50" t="n"/>
      <c r="E355" s="51" t="n"/>
      <c r="F355" s="51" t="n"/>
      <c r="G355" s="52">
        <f>IF(E355="","",E355-TODAY())</f>
        <v/>
      </c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3">
        <f>IF(B355="","",IF(COUNTBLANK(J355:O355)=6,"",IF(COUNTIF(J355:O355,"Красный")&gt;0,"Красный",IF(COUNTIF(J355:O355,"Жёлтый")&gt;0,"Жёлтый",IF(COUNTIF(J355:O355,"Не начат")&gt;0,"Не начат","Зелёный")))))</f>
        <v/>
      </c>
      <c r="Q355" s="50" t="n"/>
      <c r="R355" s="50" t="n"/>
      <c r="S355" s="50" t="n"/>
    </row>
    <row r="356" ht="15" customHeight="1" s="32">
      <c r="A356" s="50" t="n"/>
      <c r="B356" s="50" t="n"/>
      <c r="C356" s="50" t="n"/>
      <c r="D356" s="50" t="n"/>
      <c r="E356" s="51" t="n"/>
      <c r="F356" s="51" t="n"/>
      <c r="G356" s="52">
        <f>IF(E356="","",E356-TODAY())</f>
        <v/>
      </c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3">
        <f>IF(B356="","",IF(COUNTBLANK(J356:O356)=6,"",IF(COUNTIF(J356:O356,"Красный")&gt;0,"Красный",IF(COUNTIF(J356:O356,"Жёлтый")&gt;0,"Жёлтый",IF(COUNTIF(J356:O356,"Не начат")&gt;0,"Не начат","Зелёный")))))</f>
        <v/>
      </c>
      <c r="Q356" s="50" t="n"/>
      <c r="R356" s="50" t="n"/>
      <c r="S356" s="50" t="n"/>
    </row>
    <row r="357" ht="15" customHeight="1" s="32">
      <c r="A357" s="50" t="n"/>
      <c r="B357" s="50" t="n"/>
      <c r="C357" s="50" t="n"/>
      <c r="D357" s="50" t="n"/>
      <c r="E357" s="51" t="n"/>
      <c r="F357" s="51" t="n"/>
      <c r="G357" s="52">
        <f>IF(E357="","",E357-TODAY())</f>
        <v/>
      </c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3">
        <f>IF(B357="","",IF(COUNTBLANK(J357:O357)=6,"",IF(COUNTIF(J357:O357,"Красный")&gt;0,"Красный",IF(COUNTIF(J357:O357,"Жёлтый")&gt;0,"Жёлтый",IF(COUNTIF(J357:O357,"Не начат")&gt;0,"Не начат","Зелёный")))))</f>
        <v/>
      </c>
      <c r="Q357" s="50" t="n"/>
      <c r="R357" s="50" t="n"/>
      <c r="S357" s="50" t="n"/>
    </row>
    <row r="358" ht="15" customHeight="1" s="32">
      <c r="A358" s="50" t="n"/>
      <c r="B358" s="50" t="n"/>
      <c r="C358" s="50" t="n"/>
      <c r="D358" s="50" t="n"/>
      <c r="E358" s="51" t="n"/>
      <c r="F358" s="51" t="n"/>
      <c r="G358" s="52">
        <f>IF(E358="","",E358-TODAY())</f>
        <v/>
      </c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3">
        <f>IF(B358="","",IF(COUNTBLANK(J358:O358)=6,"",IF(COUNTIF(J358:O358,"Красный")&gt;0,"Красный",IF(COUNTIF(J358:O358,"Жёлтый")&gt;0,"Жёлтый",IF(COUNTIF(J358:O358,"Не начат")&gt;0,"Не начат","Зелёный")))))</f>
        <v/>
      </c>
      <c r="Q358" s="50" t="n"/>
      <c r="R358" s="50" t="n"/>
      <c r="S358" s="50" t="n"/>
    </row>
    <row r="359" ht="15" customHeight="1" s="32">
      <c r="A359" s="50" t="n"/>
      <c r="B359" s="50" t="n"/>
      <c r="C359" s="50" t="n"/>
      <c r="D359" s="50" t="n"/>
      <c r="E359" s="51" t="n"/>
      <c r="F359" s="51" t="n"/>
      <c r="G359" s="52">
        <f>IF(E359="","",E359-TODAY())</f>
        <v/>
      </c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3">
        <f>IF(B359="","",IF(COUNTBLANK(J359:O359)=6,"",IF(COUNTIF(J359:O359,"Красный")&gt;0,"Красный",IF(COUNTIF(J359:O359,"Жёлтый")&gt;0,"Жёлтый",IF(COUNTIF(J359:O359,"Не начат")&gt;0,"Не начат","Зелёный")))))</f>
        <v/>
      </c>
      <c r="Q359" s="50" t="n"/>
      <c r="R359" s="50" t="n"/>
      <c r="S359" s="50" t="n"/>
    </row>
    <row r="360" ht="15" customHeight="1" s="32">
      <c r="A360" s="50" t="n"/>
      <c r="B360" s="50" t="n"/>
      <c r="C360" s="50" t="n"/>
      <c r="D360" s="50" t="n"/>
      <c r="E360" s="51" t="n"/>
      <c r="F360" s="51" t="n"/>
      <c r="G360" s="52">
        <f>IF(E360="","",E360-TODAY())</f>
        <v/>
      </c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3">
        <f>IF(B360="","",IF(COUNTBLANK(J360:O360)=6,"",IF(COUNTIF(J360:O360,"Красный")&gt;0,"Красный",IF(COUNTIF(J360:O360,"Жёлтый")&gt;0,"Жёлтый",IF(COUNTIF(J360:O360,"Не начат")&gt;0,"Не начат","Зелёный")))))</f>
        <v/>
      </c>
      <c r="Q360" s="50" t="n"/>
      <c r="R360" s="50" t="n"/>
      <c r="S360" s="50" t="n"/>
    </row>
    <row r="361" ht="15" customHeight="1" s="32">
      <c r="A361" s="50" t="n"/>
      <c r="B361" s="50" t="n"/>
      <c r="C361" s="50" t="n"/>
      <c r="D361" s="50" t="n"/>
      <c r="E361" s="51" t="n"/>
      <c r="F361" s="51" t="n"/>
      <c r="G361" s="52">
        <f>IF(E361="","",E361-TODAY())</f>
        <v/>
      </c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3">
        <f>IF(B361="","",IF(COUNTBLANK(J361:O361)=6,"",IF(COUNTIF(J361:O361,"Красный")&gt;0,"Красный",IF(COUNTIF(J361:O361,"Жёлтый")&gt;0,"Жёлтый",IF(COUNTIF(J361:O361,"Не начат")&gt;0,"Не начат","Зелёный")))))</f>
        <v/>
      </c>
      <c r="Q361" s="50" t="n"/>
      <c r="R361" s="50" t="n"/>
      <c r="S361" s="50" t="n"/>
    </row>
    <row r="362" ht="15" customHeight="1" s="32">
      <c r="A362" s="50" t="n"/>
      <c r="B362" s="50" t="n"/>
      <c r="C362" s="50" t="n"/>
      <c r="D362" s="50" t="n"/>
      <c r="E362" s="51" t="n"/>
      <c r="F362" s="51" t="n"/>
      <c r="G362" s="52">
        <f>IF(E362="","",E362-TODAY())</f>
        <v/>
      </c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3">
        <f>IF(B362="","",IF(COUNTBLANK(J362:O362)=6,"",IF(COUNTIF(J362:O362,"Красный")&gt;0,"Красный",IF(COUNTIF(J362:O362,"Жёлтый")&gt;0,"Жёлтый",IF(COUNTIF(J362:O362,"Не начат")&gt;0,"Не начат","Зелёный")))))</f>
        <v/>
      </c>
      <c r="Q362" s="50" t="n"/>
      <c r="R362" s="50" t="n"/>
      <c r="S362" s="50" t="n"/>
    </row>
    <row r="363" ht="15" customHeight="1" s="32">
      <c r="A363" s="50" t="n"/>
      <c r="B363" s="50" t="n"/>
      <c r="C363" s="50" t="n"/>
      <c r="D363" s="50" t="n"/>
      <c r="E363" s="51" t="n"/>
      <c r="F363" s="51" t="n"/>
      <c r="G363" s="52">
        <f>IF(E363="","",E363-TODAY())</f>
        <v/>
      </c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3">
        <f>IF(B363="","",IF(COUNTBLANK(J363:O363)=6,"",IF(COUNTIF(J363:O363,"Красный")&gt;0,"Красный",IF(COUNTIF(J363:O363,"Жёлтый")&gt;0,"Жёлтый",IF(COUNTIF(J363:O363,"Не начат")&gt;0,"Не начат","Зелёный")))))</f>
        <v/>
      </c>
      <c r="Q363" s="50" t="n"/>
      <c r="R363" s="50" t="n"/>
      <c r="S363" s="50" t="n"/>
    </row>
    <row r="364" ht="15" customHeight="1" s="32">
      <c r="A364" s="50" t="n"/>
      <c r="B364" s="50" t="n"/>
      <c r="C364" s="50" t="n"/>
      <c r="D364" s="50" t="n"/>
      <c r="E364" s="51" t="n"/>
      <c r="F364" s="51" t="n"/>
      <c r="G364" s="52">
        <f>IF(E364="","",E364-TODAY())</f>
        <v/>
      </c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3">
        <f>IF(B364="","",IF(COUNTBLANK(J364:O364)=6,"",IF(COUNTIF(J364:O364,"Красный")&gt;0,"Красный",IF(COUNTIF(J364:O364,"Жёлтый")&gt;0,"Жёлтый",IF(COUNTIF(J364:O364,"Не начат")&gt;0,"Не начат","Зелёный")))))</f>
        <v/>
      </c>
      <c r="Q364" s="50" t="n"/>
      <c r="R364" s="50" t="n"/>
      <c r="S364" s="50" t="n"/>
    </row>
    <row r="365" ht="15" customHeight="1" s="32">
      <c r="A365" s="50" t="n"/>
      <c r="B365" s="50" t="n"/>
      <c r="C365" s="50" t="n"/>
      <c r="D365" s="50" t="n"/>
      <c r="E365" s="51" t="n"/>
      <c r="F365" s="51" t="n"/>
      <c r="G365" s="52">
        <f>IF(E365="","",E365-TODAY())</f>
        <v/>
      </c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3">
        <f>IF(B365="","",IF(COUNTBLANK(J365:O365)=6,"",IF(COUNTIF(J365:O365,"Красный")&gt;0,"Красный",IF(COUNTIF(J365:O365,"Жёлтый")&gt;0,"Жёлтый",IF(COUNTIF(J365:O365,"Не начат")&gt;0,"Не начат","Зелёный")))))</f>
        <v/>
      </c>
      <c r="Q365" s="50" t="n"/>
      <c r="R365" s="50" t="n"/>
      <c r="S365" s="50" t="n"/>
    </row>
    <row r="366" ht="15" customHeight="1" s="32">
      <c r="A366" s="50" t="n"/>
      <c r="B366" s="50" t="n"/>
      <c r="C366" s="50" t="n"/>
      <c r="D366" s="50" t="n"/>
      <c r="E366" s="51" t="n"/>
      <c r="F366" s="51" t="n"/>
      <c r="G366" s="52">
        <f>IF(E366="","",E366-TODAY())</f>
        <v/>
      </c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3">
        <f>IF(B366="","",IF(COUNTBLANK(J366:O366)=6,"",IF(COUNTIF(J366:O366,"Красный")&gt;0,"Красный",IF(COUNTIF(J366:O366,"Жёлтый")&gt;0,"Жёлтый",IF(COUNTIF(J366:O366,"Не начат")&gt;0,"Не начат","Зелёный")))))</f>
        <v/>
      </c>
      <c r="Q366" s="50" t="n"/>
      <c r="R366" s="50" t="n"/>
      <c r="S366" s="50" t="n"/>
    </row>
    <row r="367" ht="15" customHeight="1" s="32">
      <c r="A367" s="50" t="n"/>
      <c r="B367" s="50" t="n"/>
      <c r="C367" s="50" t="n"/>
      <c r="D367" s="50" t="n"/>
      <c r="E367" s="51" t="n"/>
      <c r="F367" s="51" t="n"/>
      <c r="G367" s="52">
        <f>IF(E367="","",E367-TODAY())</f>
        <v/>
      </c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3">
        <f>IF(B367="","",IF(COUNTBLANK(J367:O367)=6,"",IF(COUNTIF(J367:O367,"Красный")&gt;0,"Красный",IF(COUNTIF(J367:O367,"Жёлтый")&gt;0,"Жёлтый",IF(COUNTIF(J367:O367,"Не начат")&gt;0,"Не начат","Зелёный")))))</f>
        <v/>
      </c>
      <c r="Q367" s="50" t="n"/>
      <c r="R367" s="50" t="n"/>
      <c r="S367" s="50" t="n"/>
    </row>
    <row r="368" ht="15" customHeight="1" s="32">
      <c r="A368" s="50" t="n"/>
      <c r="B368" s="50" t="n"/>
      <c r="C368" s="50" t="n"/>
      <c r="D368" s="50" t="n"/>
      <c r="E368" s="51" t="n"/>
      <c r="F368" s="51" t="n"/>
      <c r="G368" s="52">
        <f>IF(E368="","",E368-TODAY())</f>
        <v/>
      </c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3">
        <f>IF(B368="","",IF(COUNTBLANK(J368:O368)=6,"",IF(COUNTIF(J368:O368,"Красный")&gt;0,"Красный",IF(COUNTIF(J368:O368,"Жёлтый")&gt;0,"Жёлтый",IF(COUNTIF(J368:O368,"Не начат")&gt;0,"Не начат","Зелёный")))))</f>
        <v/>
      </c>
      <c r="Q368" s="50" t="n"/>
      <c r="R368" s="50" t="n"/>
      <c r="S368" s="50" t="n"/>
    </row>
    <row r="369" ht="15" customHeight="1" s="32">
      <c r="A369" s="50" t="n"/>
      <c r="B369" s="50" t="n"/>
      <c r="C369" s="50" t="n"/>
      <c r="D369" s="50" t="n"/>
      <c r="E369" s="51" t="n"/>
      <c r="F369" s="51" t="n"/>
      <c r="G369" s="52">
        <f>IF(E369="","",E369-TODAY())</f>
        <v/>
      </c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3">
        <f>IF(B369="","",IF(COUNTBLANK(J369:O369)=6,"",IF(COUNTIF(J369:O369,"Красный")&gt;0,"Красный",IF(COUNTIF(J369:O369,"Жёлтый")&gt;0,"Жёлтый",IF(COUNTIF(J369:O369,"Не начат")&gt;0,"Не начат","Зелёный")))))</f>
        <v/>
      </c>
      <c r="Q369" s="50" t="n"/>
      <c r="R369" s="50" t="n"/>
      <c r="S369" s="50" t="n"/>
    </row>
    <row r="370" ht="15" customHeight="1" s="32">
      <c r="A370" s="50" t="n"/>
      <c r="B370" s="50" t="n"/>
      <c r="C370" s="50" t="n"/>
      <c r="D370" s="50" t="n"/>
      <c r="E370" s="51" t="n"/>
      <c r="F370" s="51" t="n"/>
      <c r="G370" s="52">
        <f>IF(E370="","",E370-TODAY())</f>
        <v/>
      </c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3">
        <f>IF(B370="","",IF(COUNTBLANK(J370:O370)=6,"",IF(COUNTIF(J370:O370,"Красный")&gt;0,"Красный",IF(COUNTIF(J370:O370,"Жёлтый")&gt;0,"Жёлтый",IF(COUNTIF(J370:O370,"Не начат")&gt;0,"Не начат","Зелёный")))))</f>
        <v/>
      </c>
      <c r="Q370" s="50" t="n"/>
      <c r="R370" s="50" t="n"/>
      <c r="S370" s="50" t="n"/>
    </row>
    <row r="371" ht="15" customHeight="1" s="32">
      <c r="A371" s="50" t="n"/>
      <c r="B371" s="50" t="n"/>
      <c r="C371" s="50" t="n"/>
      <c r="D371" s="50" t="n"/>
      <c r="E371" s="51" t="n"/>
      <c r="F371" s="51" t="n"/>
      <c r="G371" s="52">
        <f>IF(E371="","",E371-TODAY())</f>
        <v/>
      </c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3">
        <f>IF(B371="","",IF(COUNTBLANK(J371:O371)=6,"",IF(COUNTIF(J371:O371,"Красный")&gt;0,"Красный",IF(COUNTIF(J371:O371,"Жёлтый")&gt;0,"Жёлтый",IF(COUNTIF(J371:O371,"Не начат")&gt;0,"Не начат","Зелёный")))))</f>
        <v/>
      </c>
      <c r="Q371" s="50" t="n"/>
      <c r="R371" s="50" t="n"/>
      <c r="S371" s="50" t="n"/>
    </row>
    <row r="372" ht="15" customHeight="1" s="32">
      <c r="A372" s="50" t="n"/>
      <c r="B372" s="50" t="n"/>
      <c r="C372" s="50" t="n"/>
      <c r="D372" s="50" t="n"/>
      <c r="E372" s="51" t="n"/>
      <c r="F372" s="51" t="n"/>
      <c r="G372" s="52">
        <f>IF(E372="","",E372-TODAY())</f>
        <v/>
      </c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3">
        <f>IF(B372="","",IF(COUNTBLANK(J372:O372)=6,"",IF(COUNTIF(J372:O372,"Красный")&gt;0,"Красный",IF(COUNTIF(J372:O372,"Жёлтый")&gt;0,"Жёлтый",IF(COUNTIF(J372:O372,"Не начат")&gt;0,"Не начат","Зелёный")))))</f>
        <v/>
      </c>
      <c r="Q372" s="50" t="n"/>
      <c r="R372" s="50" t="n"/>
      <c r="S372" s="50" t="n"/>
    </row>
    <row r="373" ht="15" customHeight="1" s="32">
      <c r="A373" s="50" t="n"/>
      <c r="B373" s="50" t="n"/>
      <c r="C373" s="50" t="n"/>
      <c r="D373" s="50" t="n"/>
      <c r="E373" s="51" t="n"/>
      <c r="F373" s="51" t="n"/>
      <c r="G373" s="52">
        <f>IF(E373="","",E373-TODAY())</f>
        <v/>
      </c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3">
        <f>IF(B373="","",IF(COUNTBLANK(J373:O373)=6,"",IF(COUNTIF(J373:O373,"Красный")&gt;0,"Красный",IF(COUNTIF(J373:O373,"Жёлтый")&gt;0,"Жёлтый",IF(COUNTIF(J373:O373,"Не начат")&gt;0,"Не начат","Зелёный")))))</f>
        <v/>
      </c>
      <c r="Q373" s="50" t="n"/>
      <c r="R373" s="50" t="n"/>
      <c r="S373" s="50" t="n"/>
    </row>
    <row r="374" ht="15" customHeight="1" s="32">
      <c r="A374" s="50" t="n"/>
      <c r="B374" s="50" t="n"/>
      <c r="C374" s="50" t="n"/>
      <c r="D374" s="50" t="n"/>
      <c r="E374" s="51" t="n"/>
      <c r="F374" s="51" t="n"/>
      <c r="G374" s="52">
        <f>IF(E374="","",E374-TODAY())</f>
        <v/>
      </c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3">
        <f>IF(B374="","",IF(COUNTBLANK(J374:O374)=6,"",IF(COUNTIF(J374:O374,"Красный")&gt;0,"Красный",IF(COUNTIF(J374:O374,"Жёлтый")&gt;0,"Жёлтый",IF(COUNTIF(J374:O374,"Не начат")&gt;0,"Не начат","Зелёный")))))</f>
        <v/>
      </c>
      <c r="Q374" s="50" t="n"/>
      <c r="R374" s="50" t="n"/>
      <c r="S374" s="50" t="n"/>
    </row>
    <row r="375" ht="15" customHeight="1" s="32">
      <c r="A375" s="50" t="n"/>
      <c r="B375" s="50" t="n"/>
      <c r="C375" s="50" t="n"/>
      <c r="D375" s="50" t="n"/>
      <c r="E375" s="51" t="n"/>
      <c r="F375" s="51" t="n"/>
      <c r="G375" s="52">
        <f>IF(E375="","",E375-TODAY())</f>
        <v/>
      </c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3">
        <f>IF(B375="","",IF(COUNTBLANK(J375:O375)=6,"",IF(COUNTIF(J375:O375,"Красный")&gt;0,"Красный",IF(COUNTIF(J375:O375,"Жёлтый")&gt;0,"Жёлтый",IF(COUNTIF(J375:O375,"Не начат")&gt;0,"Не начат","Зелёный")))))</f>
        <v/>
      </c>
      <c r="Q375" s="50" t="n"/>
      <c r="R375" s="50" t="n"/>
      <c r="S375" s="50" t="n"/>
    </row>
    <row r="376" ht="15" customHeight="1" s="32">
      <c r="A376" s="50" t="n"/>
      <c r="B376" s="50" t="n"/>
      <c r="C376" s="50" t="n"/>
      <c r="D376" s="50" t="n"/>
      <c r="E376" s="51" t="n"/>
      <c r="F376" s="51" t="n"/>
      <c r="G376" s="52">
        <f>IF(E376="","",E376-TODAY())</f>
        <v/>
      </c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3">
        <f>IF(B376="","",IF(COUNTBLANK(J376:O376)=6,"",IF(COUNTIF(J376:O376,"Красный")&gt;0,"Красный",IF(COUNTIF(J376:O376,"Жёлтый")&gt;0,"Жёлтый",IF(COUNTIF(J376:O376,"Не начат")&gt;0,"Не начат","Зелёный")))))</f>
        <v/>
      </c>
      <c r="Q376" s="50" t="n"/>
      <c r="R376" s="50" t="n"/>
      <c r="S376" s="50" t="n"/>
    </row>
    <row r="377" ht="15" customHeight="1" s="32">
      <c r="A377" s="50" t="n"/>
      <c r="B377" s="50" t="n"/>
      <c r="C377" s="50" t="n"/>
      <c r="D377" s="50" t="n"/>
      <c r="E377" s="51" t="n"/>
      <c r="F377" s="51" t="n"/>
      <c r="G377" s="52">
        <f>IF(E377="","",E377-TODAY())</f>
        <v/>
      </c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3">
        <f>IF(B377="","",IF(COUNTBLANK(J377:O377)=6,"",IF(COUNTIF(J377:O377,"Красный")&gt;0,"Красный",IF(COUNTIF(J377:O377,"Жёлтый")&gt;0,"Жёлтый",IF(COUNTIF(J377:O377,"Не начат")&gt;0,"Не начат","Зелёный")))))</f>
        <v/>
      </c>
      <c r="Q377" s="50" t="n"/>
      <c r="R377" s="50" t="n"/>
      <c r="S377" s="50" t="n"/>
    </row>
    <row r="378" ht="15" customHeight="1" s="32">
      <c r="A378" s="50" t="n"/>
      <c r="B378" s="50" t="n"/>
      <c r="C378" s="50" t="n"/>
      <c r="D378" s="50" t="n"/>
      <c r="E378" s="51" t="n"/>
      <c r="F378" s="51" t="n"/>
      <c r="G378" s="52">
        <f>IF(E378="","",E378-TODAY())</f>
        <v/>
      </c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3">
        <f>IF(B378="","",IF(COUNTBLANK(J378:O378)=6,"",IF(COUNTIF(J378:O378,"Красный")&gt;0,"Красный",IF(COUNTIF(J378:O378,"Жёлтый")&gt;0,"Жёлтый",IF(COUNTIF(J378:O378,"Не начат")&gt;0,"Не начат","Зелёный")))))</f>
        <v/>
      </c>
      <c r="Q378" s="50" t="n"/>
      <c r="R378" s="50" t="n"/>
      <c r="S378" s="50" t="n"/>
    </row>
    <row r="379" ht="15" customHeight="1" s="32">
      <c r="A379" s="50" t="n"/>
      <c r="B379" s="50" t="n"/>
      <c r="C379" s="50" t="n"/>
      <c r="D379" s="50" t="n"/>
      <c r="E379" s="51" t="n"/>
      <c r="F379" s="51" t="n"/>
      <c r="G379" s="52">
        <f>IF(E379="","",E379-TODAY())</f>
        <v/>
      </c>
      <c r="H379" s="50" t="n"/>
      <c r="I379" s="50" t="n"/>
      <c r="J379" s="50" t="n"/>
      <c r="K379" s="50" t="n"/>
      <c r="L379" s="50" t="n"/>
      <c r="M379" s="50" t="n"/>
      <c r="N379" s="50" t="n"/>
      <c r="O379" s="50" t="n"/>
      <c r="P379" s="53">
        <f>IF(B379="","",IF(COUNTBLANK(J379:O379)=6,"",IF(COUNTIF(J379:O379,"Красный")&gt;0,"Красный",IF(COUNTIF(J379:O379,"Жёлтый")&gt;0,"Жёлтый",IF(COUNTIF(J379:O379,"Не начат")&gt;0,"Не начат","Зелёный")))))</f>
        <v/>
      </c>
      <c r="Q379" s="50" t="n"/>
      <c r="R379" s="50" t="n"/>
      <c r="S379" s="50" t="n"/>
    </row>
    <row r="380" ht="15" customHeight="1" s="32">
      <c r="A380" s="50" t="n"/>
      <c r="B380" s="50" t="n"/>
      <c r="C380" s="50" t="n"/>
      <c r="D380" s="50" t="n"/>
      <c r="E380" s="51" t="n"/>
      <c r="F380" s="51" t="n"/>
      <c r="G380" s="52">
        <f>IF(E380="","",E380-TODAY())</f>
        <v/>
      </c>
      <c r="H380" s="50" t="n"/>
      <c r="I380" s="50" t="n"/>
      <c r="J380" s="50" t="n"/>
      <c r="K380" s="50" t="n"/>
      <c r="L380" s="50" t="n"/>
      <c r="M380" s="50" t="n"/>
      <c r="N380" s="50" t="n"/>
      <c r="O380" s="50" t="n"/>
      <c r="P380" s="53">
        <f>IF(B380="","",IF(COUNTBLANK(J380:O380)=6,"",IF(COUNTIF(J380:O380,"Красный")&gt;0,"Красный",IF(COUNTIF(J380:O380,"Жёлтый")&gt;0,"Жёлтый",IF(COUNTIF(J380:O380,"Не начат")&gt;0,"Не начат","Зелёный")))))</f>
        <v/>
      </c>
      <c r="Q380" s="50" t="n"/>
      <c r="R380" s="50" t="n"/>
      <c r="S380" s="50" t="n"/>
    </row>
    <row r="381" ht="15" customHeight="1" s="32">
      <c r="A381" s="50" t="n"/>
      <c r="B381" s="50" t="n"/>
      <c r="C381" s="50" t="n"/>
      <c r="D381" s="50" t="n"/>
      <c r="E381" s="51" t="n"/>
      <c r="F381" s="51" t="n"/>
      <c r="G381" s="52">
        <f>IF(E381="","",E381-TODAY())</f>
        <v/>
      </c>
      <c r="H381" s="50" t="n"/>
      <c r="I381" s="50" t="n"/>
      <c r="J381" s="50" t="n"/>
      <c r="K381" s="50" t="n"/>
      <c r="L381" s="50" t="n"/>
      <c r="M381" s="50" t="n"/>
      <c r="N381" s="50" t="n"/>
      <c r="O381" s="50" t="n"/>
      <c r="P381" s="53">
        <f>IF(B381="","",IF(COUNTBLANK(J381:O381)=6,"",IF(COUNTIF(J381:O381,"Красный")&gt;0,"Красный",IF(COUNTIF(J381:O381,"Жёлтый")&gt;0,"Жёлтый",IF(COUNTIF(J381:O381,"Не начат")&gt;0,"Не начат","Зелёный")))))</f>
        <v/>
      </c>
      <c r="Q381" s="50" t="n"/>
      <c r="R381" s="50" t="n"/>
      <c r="S381" s="50" t="n"/>
    </row>
    <row r="382" ht="15" customHeight="1" s="32">
      <c r="A382" s="50" t="n"/>
      <c r="B382" s="50" t="n"/>
      <c r="C382" s="50" t="n"/>
      <c r="D382" s="50" t="n"/>
      <c r="E382" s="51" t="n"/>
      <c r="F382" s="51" t="n"/>
      <c r="G382" s="52">
        <f>IF(E382="","",E382-TODAY())</f>
        <v/>
      </c>
      <c r="H382" s="50" t="n"/>
      <c r="I382" s="50" t="n"/>
      <c r="J382" s="50" t="n"/>
      <c r="K382" s="50" t="n"/>
      <c r="L382" s="50" t="n"/>
      <c r="M382" s="50" t="n"/>
      <c r="N382" s="50" t="n"/>
      <c r="O382" s="50" t="n"/>
      <c r="P382" s="53">
        <f>IF(B382="","",IF(COUNTBLANK(J382:O382)=6,"",IF(COUNTIF(J382:O382,"Красный")&gt;0,"Красный",IF(COUNTIF(J382:O382,"Жёлтый")&gt;0,"Жёлтый",IF(COUNTIF(J382:O382,"Не начат")&gt;0,"Не начат","Зелёный")))))</f>
        <v/>
      </c>
      <c r="Q382" s="50" t="n"/>
      <c r="R382" s="50" t="n"/>
      <c r="S382" s="50" t="n"/>
    </row>
    <row r="383" ht="15" customHeight="1" s="32">
      <c r="A383" s="50" t="n"/>
      <c r="B383" s="50" t="n"/>
      <c r="C383" s="50" t="n"/>
      <c r="D383" s="50" t="n"/>
      <c r="E383" s="51" t="n"/>
      <c r="F383" s="51" t="n"/>
      <c r="G383" s="52">
        <f>IF(E383="","",E383-TODAY())</f>
        <v/>
      </c>
      <c r="H383" s="50" t="n"/>
      <c r="I383" s="50" t="n"/>
      <c r="J383" s="50" t="n"/>
      <c r="K383" s="50" t="n"/>
      <c r="L383" s="50" t="n"/>
      <c r="M383" s="50" t="n"/>
      <c r="N383" s="50" t="n"/>
      <c r="O383" s="50" t="n"/>
      <c r="P383" s="53">
        <f>IF(B383="","",IF(COUNTBLANK(J383:O383)=6,"",IF(COUNTIF(J383:O383,"Красный")&gt;0,"Красный",IF(COUNTIF(J383:O383,"Жёлтый")&gt;0,"Жёлтый",IF(COUNTIF(J383:O383,"Не начат")&gt;0,"Не начат","Зелёный")))))</f>
        <v/>
      </c>
      <c r="Q383" s="50" t="n"/>
      <c r="R383" s="50" t="n"/>
      <c r="S383" s="50" t="n"/>
    </row>
    <row r="384" ht="15" customHeight="1" s="32">
      <c r="A384" s="50" t="n"/>
      <c r="B384" s="50" t="n"/>
      <c r="C384" s="50" t="n"/>
      <c r="D384" s="50" t="n"/>
      <c r="E384" s="51" t="n"/>
      <c r="F384" s="51" t="n"/>
      <c r="G384" s="52">
        <f>IF(E384="","",E384-TODAY())</f>
        <v/>
      </c>
      <c r="H384" s="50" t="n"/>
      <c r="I384" s="50" t="n"/>
      <c r="J384" s="50" t="n"/>
      <c r="K384" s="50" t="n"/>
      <c r="L384" s="50" t="n"/>
      <c r="M384" s="50" t="n"/>
      <c r="N384" s="50" t="n"/>
      <c r="O384" s="50" t="n"/>
      <c r="P384" s="53">
        <f>IF(B384="","",IF(COUNTBLANK(J384:O384)=6,"",IF(COUNTIF(J384:O384,"Красный")&gt;0,"Красный",IF(COUNTIF(J384:O384,"Жёлтый")&gt;0,"Жёлтый",IF(COUNTIF(J384:O384,"Не начат")&gt;0,"Не начат","Зелёный")))))</f>
        <v/>
      </c>
      <c r="Q384" s="50" t="n"/>
      <c r="R384" s="50" t="n"/>
      <c r="S384" s="50" t="n"/>
    </row>
    <row r="385" ht="15" customHeight="1" s="32">
      <c r="A385" s="50" t="n"/>
      <c r="B385" s="50" t="n"/>
      <c r="C385" s="50" t="n"/>
      <c r="D385" s="50" t="n"/>
      <c r="E385" s="51" t="n"/>
      <c r="F385" s="51" t="n"/>
      <c r="G385" s="52">
        <f>IF(E385="","",E385-TODAY())</f>
        <v/>
      </c>
      <c r="H385" s="50" t="n"/>
      <c r="I385" s="50" t="n"/>
      <c r="J385" s="50" t="n"/>
      <c r="K385" s="50" t="n"/>
      <c r="L385" s="50" t="n"/>
      <c r="M385" s="50" t="n"/>
      <c r="N385" s="50" t="n"/>
      <c r="O385" s="50" t="n"/>
      <c r="P385" s="53">
        <f>IF(B385="","",IF(COUNTBLANK(J385:O385)=6,"",IF(COUNTIF(J385:O385,"Красный")&gt;0,"Красный",IF(COUNTIF(J385:O385,"Жёлтый")&gt;0,"Жёлтый",IF(COUNTIF(J385:O385,"Не начат")&gt;0,"Не начат","Зелёный")))))</f>
        <v/>
      </c>
      <c r="Q385" s="50" t="n"/>
      <c r="R385" s="50" t="n"/>
      <c r="S385" s="50" t="n"/>
    </row>
    <row r="386" ht="15" customHeight="1" s="32">
      <c r="A386" s="50" t="n"/>
      <c r="B386" s="50" t="n"/>
      <c r="C386" s="50" t="n"/>
      <c r="D386" s="50" t="n"/>
      <c r="E386" s="51" t="n"/>
      <c r="F386" s="51" t="n"/>
      <c r="G386" s="52">
        <f>IF(E386="","",E386-TODAY())</f>
        <v/>
      </c>
      <c r="H386" s="50" t="n"/>
      <c r="I386" s="50" t="n"/>
      <c r="J386" s="50" t="n"/>
      <c r="K386" s="50" t="n"/>
      <c r="L386" s="50" t="n"/>
      <c r="M386" s="50" t="n"/>
      <c r="N386" s="50" t="n"/>
      <c r="O386" s="50" t="n"/>
      <c r="P386" s="53">
        <f>IF(B386="","",IF(COUNTBLANK(J386:O386)=6,"",IF(COUNTIF(J386:O386,"Красный")&gt;0,"Красный",IF(COUNTIF(J386:O386,"Жёлтый")&gt;0,"Жёлтый",IF(COUNTIF(J386:O386,"Не начат")&gt;0,"Не начат","Зелёный")))))</f>
        <v/>
      </c>
      <c r="Q386" s="50" t="n"/>
      <c r="R386" s="50" t="n"/>
      <c r="S386" s="50" t="n"/>
    </row>
    <row r="387" ht="15" customHeight="1" s="32">
      <c r="A387" s="50" t="n"/>
      <c r="B387" s="50" t="n"/>
      <c r="C387" s="50" t="n"/>
      <c r="D387" s="50" t="n"/>
      <c r="E387" s="51" t="n"/>
      <c r="F387" s="51" t="n"/>
      <c r="G387" s="52">
        <f>IF(E387="","",E387-TODAY())</f>
        <v/>
      </c>
      <c r="H387" s="50" t="n"/>
      <c r="I387" s="50" t="n"/>
      <c r="J387" s="50" t="n"/>
      <c r="K387" s="50" t="n"/>
      <c r="L387" s="50" t="n"/>
      <c r="M387" s="50" t="n"/>
      <c r="N387" s="50" t="n"/>
      <c r="O387" s="50" t="n"/>
      <c r="P387" s="53">
        <f>IF(B387="","",IF(COUNTBLANK(J387:O387)=6,"",IF(COUNTIF(J387:O387,"Красный")&gt;0,"Красный",IF(COUNTIF(J387:O387,"Жёлтый")&gt;0,"Жёлтый",IF(COUNTIF(J387:O387,"Не начат")&gt;0,"Не начат","Зелёный")))))</f>
        <v/>
      </c>
      <c r="Q387" s="50" t="n"/>
      <c r="R387" s="50" t="n"/>
      <c r="S387" s="50" t="n"/>
    </row>
    <row r="388" ht="15" customHeight="1" s="32">
      <c r="A388" s="50" t="n"/>
      <c r="B388" s="50" t="n"/>
      <c r="C388" s="50" t="n"/>
      <c r="D388" s="50" t="n"/>
      <c r="E388" s="51" t="n"/>
      <c r="F388" s="51" t="n"/>
      <c r="G388" s="52">
        <f>IF(E388="","",E388-TODAY())</f>
        <v/>
      </c>
      <c r="H388" s="50" t="n"/>
      <c r="I388" s="50" t="n"/>
      <c r="J388" s="50" t="n"/>
      <c r="K388" s="50" t="n"/>
      <c r="L388" s="50" t="n"/>
      <c r="M388" s="50" t="n"/>
      <c r="N388" s="50" t="n"/>
      <c r="O388" s="50" t="n"/>
      <c r="P388" s="53">
        <f>IF(B388="","",IF(COUNTBLANK(J388:O388)=6,"",IF(COUNTIF(J388:O388,"Красный")&gt;0,"Красный",IF(COUNTIF(J388:O388,"Жёлтый")&gt;0,"Жёлтый",IF(COUNTIF(J388:O388,"Не начат")&gt;0,"Не начат","Зелёный")))))</f>
        <v/>
      </c>
      <c r="Q388" s="50" t="n"/>
      <c r="R388" s="50" t="n"/>
      <c r="S388" s="50" t="n"/>
    </row>
    <row r="389" ht="15" customHeight="1" s="32">
      <c r="A389" s="50" t="n"/>
      <c r="B389" s="50" t="n"/>
      <c r="C389" s="50" t="n"/>
      <c r="D389" s="50" t="n"/>
      <c r="E389" s="51" t="n"/>
      <c r="F389" s="51" t="n"/>
      <c r="G389" s="52">
        <f>IF(E389="","",E389-TODAY())</f>
        <v/>
      </c>
      <c r="H389" s="50" t="n"/>
      <c r="I389" s="50" t="n"/>
      <c r="J389" s="50" t="n"/>
      <c r="K389" s="50" t="n"/>
      <c r="L389" s="50" t="n"/>
      <c r="M389" s="50" t="n"/>
      <c r="N389" s="50" t="n"/>
      <c r="O389" s="50" t="n"/>
      <c r="P389" s="53">
        <f>IF(B389="","",IF(COUNTBLANK(J389:O389)=6,"",IF(COUNTIF(J389:O389,"Красный")&gt;0,"Красный",IF(COUNTIF(J389:O389,"Жёлтый")&gt;0,"Жёлтый",IF(COUNTIF(J389:O389,"Не начат")&gt;0,"Не начат","Зелёный")))))</f>
        <v/>
      </c>
      <c r="Q389" s="50" t="n"/>
      <c r="R389" s="50" t="n"/>
      <c r="S389" s="50" t="n"/>
    </row>
    <row r="390" ht="15" customHeight="1" s="32">
      <c r="A390" s="50" t="n"/>
      <c r="B390" s="50" t="n"/>
      <c r="C390" s="50" t="n"/>
      <c r="D390" s="50" t="n"/>
      <c r="E390" s="51" t="n"/>
      <c r="F390" s="51" t="n"/>
      <c r="G390" s="52">
        <f>IF(E390="","",E390-TODAY())</f>
        <v/>
      </c>
      <c r="H390" s="50" t="n"/>
      <c r="I390" s="50" t="n"/>
      <c r="J390" s="50" t="n"/>
      <c r="K390" s="50" t="n"/>
      <c r="L390" s="50" t="n"/>
      <c r="M390" s="50" t="n"/>
      <c r="N390" s="50" t="n"/>
      <c r="O390" s="50" t="n"/>
      <c r="P390" s="53">
        <f>IF(B390="","",IF(COUNTBLANK(J390:O390)=6,"",IF(COUNTIF(J390:O390,"Красный")&gt;0,"Красный",IF(COUNTIF(J390:O390,"Жёлтый")&gt;0,"Жёлтый",IF(COUNTIF(J390:O390,"Не начат")&gt;0,"Не начат","Зелёный")))))</f>
        <v/>
      </c>
      <c r="Q390" s="50" t="n"/>
      <c r="R390" s="50" t="n"/>
      <c r="S390" s="50" t="n"/>
    </row>
    <row r="391" ht="15" customHeight="1" s="32">
      <c r="A391" s="50" t="n"/>
      <c r="B391" s="50" t="n"/>
      <c r="C391" s="50" t="n"/>
      <c r="D391" s="50" t="n"/>
      <c r="E391" s="51" t="n"/>
      <c r="F391" s="51" t="n"/>
      <c r="G391" s="52">
        <f>IF(E391="","",E391-TODAY())</f>
        <v/>
      </c>
      <c r="H391" s="50" t="n"/>
      <c r="I391" s="50" t="n"/>
      <c r="J391" s="50" t="n"/>
      <c r="K391" s="50" t="n"/>
      <c r="L391" s="50" t="n"/>
      <c r="M391" s="50" t="n"/>
      <c r="N391" s="50" t="n"/>
      <c r="O391" s="50" t="n"/>
      <c r="P391" s="53">
        <f>IF(B391="","",IF(COUNTBLANK(J391:O391)=6,"",IF(COUNTIF(J391:O391,"Красный")&gt;0,"Красный",IF(COUNTIF(J391:O391,"Жёлтый")&gt;0,"Жёлтый",IF(COUNTIF(J391:O391,"Не начат")&gt;0,"Не начат","Зелёный")))))</f>
        <v/>
      </c>
      <c r="Q391" s="50" t="n"/>
      <c r="R391" s="50" t="n"/>
      <c r="S391" s="50" t="n"/>
    </row>
    <row r="392" ht="15" customHeight="1" s="32">
      <c r="A392" s="50" t="n"/>
      <c r="B392" s="50" t="n"/>
      <c r="C392" s="50" t="n"/>
      <c r="D392" s="50" t="n"/>
      <c r="E392" s="51" t="n"/>
      <c r="F392" s="51" t="n"/>
      <c r="G392" s="52">
        <f>IF(E392="","",E392-TODAY())</f>
        <v/>
      </c>
      <c r="H392" s="50" t="n"/>
      <c r="I392" s="50" t="n"/>
      <c r="J392" s="50" t="n"/>
      <c r="K392" s="50" t="n"/>
      <c r="L392" s="50" t="n"/>
      <c r="M392" s="50" t="n"/>
      <c r="N392" s="50" t="n"/>
      <c r="O392" s="50" t="n"/>
      <c r="P392" s="53">
        <f>IF(B392="","",IF(COUNTBLANK(J392:O392)=6,"",IF(COUNTIF(J392:O392,"Красный")&gt;0,"Красный",IF(COUNTIF(J392:O392,"Жёлтый")&gt;0,"Жёлтый",IF(COUNTIF(J392:O392,"Не начат")&gt;0,"Не начат","Зелёный")))))</f>
        <v/>
      </c>
      <c r="Q392" s="50" t="n"/>
      <c r="R392" s="50" t="n"/>
      <c r="S392" s="50" t="n"/>
    </row>
    <row r="393" ht="15" customHeight="1" s="32">
      <c r="A393" s="50" t="n"/>
      <c r="B393" s="50" t="n"/>
      <c r="C393" s="50" t="n"/>
      <c r="D393" s="50" t="n"/>
      <c r="E393" s="51" t="n"/>
      <c r="F393" s="51" t="n"/>
      <c r="G393" s="52">
        <f>IF(E393="","",E393-TODAY())</f>
        <v/>
      </c>
      <c r="H393" s="50" t="n"/>
      <c r="I393" s="50" t="n"/>
      <c r="J393" s="50" t="n"/>
      <c r="K393" s="50" t="n"/>
      <c r="L393" s="50" t="n"/>
      <c r="M393" s="50" t="n"/>
      <c r="N393" s="50" t="n"/>
      <c r="O393" s="50" t="n"/>
      <c r="P393" s="53">
        <f>IF(B393="","",IF(COUNTBLANK(J393:O393)=6,"",IF(COUNTIF(J393:O393,"Красный")&gt;0,"Красный",IF(COUNTIF(J393:O393,"Жёлтый")&gt;0,"Жёлтый",IF(COUNTIF(J393:O393,"Не начат")&gt;0,"Не начат","Зелёный")))))</f>
        <v/>
      </c>
      <c r="Q393" s="50" t="n"/>
      <c r="R393" s="50" t="n"/>
      <c r="S393" s="50" t="n"/>
    </row>
    <row r="394" ht="15" customHeight="1" s="32">
      <c r="A394" s="50" t="n"/>
      <c r="B394" s="50" t="n"/>
      <c r="C394" s="50" t="n"/>
      <c r="D394" s="50" t="n"/>
      <c r="E394" s="51" t="n"/>
      <c r="F394" s="51" t="n"/>
      <c r="G394" s="52">
        <f>IF(E394="","",E394-TODAY())</f>
        <v/>
      </c>
      <c r="H394" s="50" t="n"/>
      <c r="I394" s="50" t="n"/>
      <c r="J394" s="50" t="n"/>
      <c r="K394" s="50" t="n"/>
      <c r="L394" s="50" t="n"/>
      <c r="M394" s="50" t="n"/>
      <c r="N394" s="50" t="n"/>
      <c r="O394" s="50" t="n"/>
      <c r="P394" s="53">
        <f>IF(B394="","",IF(COUNTBLANK(J394:O394)=6,"",IF(COUNTIF(J394:O394,"Красный")&gt;0,"Красный",IF(COUNTIF(J394:O394,"Жёлтый")&gt;0,"Жёлтый",IF(COUNTIF(J394:O394,"Не начат")&gt;0,"Не начат","Зелёный")))))</f>
        <v/>
      </c>
      <c r="Q394" s="50" t="n"/>
      <c r="R394" s="50" t="n"/>
      <c r="S394" s="50" t="n"/>
    </row>
    <row r="395" ht="15" customHeight="1" s="32">
      <c r="A395" s="50" t="n"/>
      <c r="B395" s="50" t="n"/>
      <c r="C395" s="50" t="n"/>
      <c r="D395" s="50" t="n"/>
      <c r="E395" s="51" t="n"/>
      <c r="F395" s="51" t="n"/>
      <c r="G395" s="52">
        <f>IF(E395="","",E395-TODAY())</f>
        <v/>
      </c>
      <c r="H395" s="50" t="n"/>
      <c r="I395" s="50" t="n"/>
      <c r="J395" s="50" t="n"/>
      <c r="K395" s="50" t="n"/>
      <c r="L395" s="50" t="n"/>
      <c r="M395" s="50" t="n"/>
      <c r="N395" s="50" t="n"/>
      <c r="O395" s="50" t="n"/>
      <c r="P395" s="53">
        <f>IF(B395="","",IF(COUNTBLANK(J395:O395)=6,"",IF(COUNTIF(J395:O395,"Красный")&gt;0,"Красный",IF(COUNTIF(J395:O395,"Жёлтый")&gt;0,"Жёлтый",IF(COUNTIF(J395:O395,"Не начат")&gt;0,"Не начат","Зелёный")))))</f>
        <v/>
      </c>
      <c r="Q395" s="50" t="n"/>
      <c r="R395" s="50" t="n"/>
      <c r="S395" s="50" t="n"/>
    </row>
    <row r="396" ht="15" customHeight="1" s="32">
      <c r="A396" s="50" t="n"/>
      <c r="B396" s="50" t="n"/>
      <c r="C396" s="50" t="n"/>
      <c r="D396" s="50" t="n"/>
      <c r="E396" s="51" t="n"/>
      <c r="F396" s="51" t="n"/>
      <c r="G396" s="52">
        <f>IF(E396="","",E396-TODAY())</f>
        <v/>
      </c>
      <c r="H396" s="50" t="n"/>
      <c r="I396" s="50" t="n"/>
      <c r="J396" s="50" t="n"/>
      <c r="K396" s="50" t="n"/>
      <c r="L396" s="50" t="n"/>
      <c r="M396" s="50" t="n"/>
      <c r="N396" s="50" t="n"/>
      <c r="O396" s="50" t="n"/>
      <c r="P396" s="53">
        <f>IF(B396="","",IF(COUNTBLANK(J396:O396)=6,"",IF(COUNTIF(J396:O396,"Красный")&gt;0,"Красный",IF(COUNTIF(J396:O396,"Жёлтый")&gt;0,"Жёлтый",IF(COUNTIF(J396:O396,"Не начат")&gt;0,"Не начат","Зелёный")))))</f>
        <v/>
      </c>
      <c r="Q396" s="50" t="n"/>
      <c r="R396" s="50" t="n"/>
      <c r="S396" s="50" t="n"/>
    </row>
    <row r="397" ht="15" customHeight="1" s="32">
      <c r="A397" s="50" t="n"/>
      <c r="B397" s="50" t="n"/>
      <c r="C397" s="50" t="n"/>
      <c r="D397" s="50" t="n"/>
      <c r="E397" s="51" t="n"/>
      <c r="F397" s="51" t="n"/>
      <c r="G397" s="52">
        <f>IF(E397="","",E397-TODAY())</f>
        <v/>
      </c>
      <c r="H397" s="50" t="n"/>
      <c r="I397" s="50" t="n"/>
      <c r="J397" s="50" t="n"/>
      <c r="K397" s="50" t="n"/>
      <c r="L397" s="50" t="n"/>
      <c r="M397" s="50" t="n"/>
      <c r="N397" s="50" t="n"/>
      <c r="O397" s="50" t="n"/>
      <c r="P397" s="53">
        <f>IF(B397="","",IF(COUNTBLANK(J397:O397)=6,"",IF(COUNTIF(J397:O397,"Красный")&gt;0,"Красный",IF(COUNTIF(J397:O397,"Жёлтый")&gt;0,"Жёлтый",IF(COUNTIF(J397:O397,"Не начат")&gt;0,"Не начат","Зелёный")))))</f>
        <v/>
      </c>
      <c r="Q397" s="50" t="n"/>
      <c r="R397" s="50" t="n"/>
      <c r="S397" s="50" t="n"/>
    </row>
    <row r="398" ht="15" customHeight="1" s="32">
      <c r="A398" s="50" t="n"/>
      <c r="B398" s="50" t="n"/>
      <c r="C398" s="50" t="n"/>
      <c r="D398" s="50" t="n"/>
      <c r="E398" s="51" t="n"/>
      <c r="F398" s="51" t="n"/>
      <c r="G398" s="52">
        <f>IF(E398="","",E398-TODAY())</f>
        <v/>
      </c>
      <c r="H398" s="50" t="n"/>
      <c r="I398" s="50" t="n"/>
      <c r="J398" s="50" t="n"/>
      <c r="K398" s="50" t="n"/>
      <c r="L398" s="50" t="n"/>
      <c r="M398" s="50" t="n"/>
      <c r="N398" s="50" t="n"/>
      <c r="O398" s="50" t="n"/>
      <c r="P398" s="53">
        <f>IF(B398="","",IF(COUNTBLANK(J398:O398)=6,"",IF(COUNTIF(J398:O398,"Красный")&gt;0,"Красный",IF(COUNTIF(J398:O398,"Жёлтый")&gt;0,"Жёлтый",IF(COUNTIF(J398:O398,"Не начат")&gt;0,"Не начат","Зелёный")))))</f>
        <v/>
      </c>
      <c r="Q398" s="50" t="n"/>
      <c r="R398" s="50" t="n"/>
      <c r="S398" s="50" t="n"/>
    </row>
    <row r="399" ht="15" customHeight="1" s="32">
      <c r="A399" s="50" t="n"/>
      <c r="B399" s="50" t="n"/>
      <c r="C399" s="50" t="n"/>
      <c r="D399" s="50" t="n"/>
      <c r="E399" s="51" t="n"/>
      <c r="F399" s="51" t="n"/>
      <c r="G399" s="52">
        <f>IF(E399="","",E399-TODAY())</f>
        <v/>
      </c>
      <c r="H399" s="50" t="n"/>
      <c r="I399" s="50" t="n"/>
      <c r="J399" s="50" t="n"/>
      <c r="K399" s="50" t="n"/>
      <c r="L399" s="50" t="n"/>
      <c r="M399" s="50" t="n"/>
      <c r="N399" s="50" t="n"/>
      <c r="O399" s="50" t="n"/>
      <c r="P399" s="53">
        <f>IF(B399="","",IF(COUNTBLANK(J399:O399)=6,"",IF(COUNTIF(J399:O399,"Красный")&gt;0,"Красный",IF(COUNTIF(J399:O399,"Жёлтый")&gt;0,"Жёлтый",IF(COUNTIF(J399:O399,"Не начат")&gt;0,"Не начат","Зелёный")))))</f>
        <v/>
      </c>
      <c r="Q399" s="50" t="n"/>
      <c r="R399" s="50" t="n"/>
      <c r="S399" s="50" t="n"/>
    </row>
    <row r="400" ht="15" customHeight="1" s="32">
      <c r="A400" s="50" t="n"/>
      <c r="B400" s="50" t="n"/>
      <c r="C400" s="50" t="n"/>
      <c r="D400" s="50" t="n"/>
      <c r="E400" s="51" t="n"/>
      <c r="F400" s="51" t="n"/>
      <c r="G400" s="52">
        <f>IF(E400="","",E400-TODAY())</f>
        <v/>
      </c>
      <c r="H400" s="50" t="n"/>
      <c r="I400" s="50" t="n"/>
      <c r="J400" s="50" t="n"/>
      <c r="K400" s="50" t="n"/>
      <c r="L400" s="50" t="n"/>
      <c r="M400" s="50" t="n"/>
      <c r="N400" s="50" t="n"/>
      <c r="O400" s="50" t="n"/>
      <c r="P400" s="53">
        <f>IF(B400="","",IF(COUNTBLANK(J400:O400)=6,"",IF(COUNTIF(J400:O400,"Красный")&gt;0,"Красный",IF(COUNTIF(J400:O400,"Жёлтый")&gt;0,"Жёлтый",IF(COUNTIF(J400:O400,"Не начат")&gt;0,"Не начат","Зелёный")))))</f>
        <v/>
      </c>
      <c r="Q400" s="50" t="n"/>
      <c r="R400" s="50" t="n"/>
      <c r="S400" s="50" t="n"/>
    </row>
  </sheetData>
  <autoFilter ref="A1:S1"/>
  <conditionalFormatting sqref="J2:J400">
    <cfRule type="cellIs" rank="0" priority="2" equalAverage="0" operator="equal" aboveAverage="0" dxfId="2" text="" percent="0" bottom="0">
      <formula>"Зелёный"</formula>
    </cfRule>
    <cfRule type="cellIs" rank="0" priority="3" equalAverage="0" operator="equal" aboveAverage="0" dxfId="3" text="" percent="0" bottom="0">
      <formula>"Жёлтый"</formula>
    </cfRule>
    <cfRule type="cellIs" rank="0" priority="4" equalAverage="0" operator="equal" aboveAverage="0" dxfId="4" text="" percent="0" bottom="0">
      <formula>"Красный"</formula>
    </cfRule>
    <cfRule type="cellIs" rank="0" priority="5" equalAverage="0" operator="equal" aboveAverage="0" dxfId="5" text="" percent="0" bottom="0">
      <formula>"Н/Д"</formula>
    </cfRule>
  </conditionalFormatting>
  <conditionalFormatting sqref="K2:K400">
    <cfRule type="cellIs" rank="0" priority="6" equalAverage="0" operator="equal" aboveAverage="0" dxfId="2" text="" percent="0" bottom="0">
      <formula>"Зелёный"</formula>
    </cfRule>
    <cfRule type="cellIs" rank="0" priority="7" equalAverage="0" operator="equal" aboveAverage="0" dxfId="3" text="" percent="0" bottom="0">
      <formula>"Жёлтый"</formula>
    </cfRule>
    <cfRule type="cellIs" rank="0" priority="8" equalAverage="0" operator="equal" aboveAverage="0" dxfId="4" text="" percent="0" bottom="0">
      <formula>"Красный"</formula>
    </cfRule>
    <cfRule type="cellIs" rank="0" priority="9" equalAverage="0" operator="equal" aboveAverage="0" dxfId="5" text="" percent="0" bottom="0">
      <formula>"Н/Д"</formula>
    </cfRule>
  </conditionalFormatting>
  <conditionalFormatting sqref="L2:L400">
    <cfRule type="cellIs" rank="0" priority="10" equalAverage="0" operator="equal" aboveAverage="0" dxfId="2" text="" percent="0" bottom="0">
      <formula>"Зелёный"</formula>
    </cfRule>
    <cfRule type="cellIs" rank="0" priority="11" equalAverage="0" operator="equal" aboveAverage="0" dxfId="3" text="" percent="0" bottom="0">
      <formula>"Жёлтый"</formula>
    </cfRule>
    <cfRule type="cellIs" rank="0" priority="12" equalAverage="0" operator="equal" aboveAverage="0" dxfId="4" text="" percent="0" bottom="0">
      <formula>"Красный"</formula>
    </cfRule>
    <cfRule type="cellIs" rank="0" priority="13" equalAverage="0" operator="equal" aboveAverage="0" dxfId="5" text="" percent="0" bottom="0">
      <formula>"Н/Д"</formula>
    </cfRule>
  </conditionalFormatting>
  <conditionalFormatting sqref="M2:M400">
    <cfRule type="cellIs" rank="0" priority="14" equalAverage="0" operator="equal" aboveAverage="0" dxfId="2" text="" percent="0" bottom="0">
      <formula>"Зелёный"</formula>
    </cfRule>
    <cfRule type="cellIs" rank="0" priority="15" equalAverage="0" operator="equal" aboveAverage="0" dxfId="3" text="" percent="0" bottom="0">
      <formula>"Жёлтый"</formula>
    </cfRule>
    <cfRule type="cellIs" rank="0" priority="16" equalAverage="0" operator="equal" aboveAverage="0" dxfId="4" text="" percent="0" bottom="0">
      <formula>"Красный"</formula>
    </cfRule>
    <cfRule type="cellIs" rank="0" priority="17" equalAverage="0" operator="equal" aboveAverage="0" dxfId="5" text="" percent="0" bottom="0">
      <formula>"Н/Д"</formula>
    </cfRule>
  </conditionalFormatting>
  <conditionalFormatting sqref="N2:N400">
    <cfRule type="cellIs" rank="0" priority="18" equalAverage="0" operator="equal" aboveAverage="0" dxfId="2" text="" percent="0" bottom="0">
      <formula>"Зелёный"</formula>
    </cfRule>
    <cfRule type="cellIs" rank="0" priority="19" equalAverage="0" operator="equal" aboveAverage="0" dxfId="3" text="" percent="0" bottom="0">
      <formula>"Жёлтый"</formula>
    </cfRule>
    <cfRule type="cellIs" rank="0" priority="20" equalAverage="0" operator="equal" aboveAverage="0" dxfId="4" text="" percent="0" bottom="0">
      <formula>"Красный"</formula>
    </cfRule>
    <cfRule type="cellIs" rank="0" priority="21" equalAverage="0" operator="equal" aboveAverage="0" dxfId="5" text="" percent="0" bottom="0">
      <formula>"Н/Д"</formula>
    </cfRule>
  </conditionalFormatting>
  <conditionalFormatting sqref="O2:O400">
    <cfRule type="cellIs" rank="0" priority="22" equalAverage="0" operator="equal" aboveAverage="0" dxfId="2" text="" percent="0" bottom="0">
      <formula>"Зелёный"</formula>
    </cfRule>
    <cfRule type="cellIs" rank="0" priority="23" equalAverage="0" operator="equal" aboveAverage="0" dxfId="3" text="" percent="0" bottom="0">
      <formula>"Жёлтый"</formula>
    </cfRule>
    <cfRule type="cellIs" rank="0" priority="24" equalAverage="0" operator="equal" aboveAverage="0" dxfId="4" text="" percent="0" bottom="0">
      <formula>"Красный"</formula>
    </cfRule>
    <cfRule type="cellIs" rank="0" priority="25" equalAverage="0" operator="equal" aboveAverage="0" dxfId="5" text="" percent="0" bottom="0">
      <formula>"Н/Д"</formula>
    </cfRule>
  </conditionalFormatting>
  <conditionalFormatting sqref="P2:P400">
    <cfRule type="cellIs" rank="0" priority="26" equalAverage="0" operator="equal" aboveAverage="0" dxfId="2" text="" percent="0" bottom="0">
      <formula>"Зелёный"</formula>
    </cfRule>
    <cfRule type="cellIs" rank="0" priority="27" equalAverage="0" operator="equal" aboveAverage="0" dxfId="3" text="" percent="0" bottom="0">
      <formula>"Жёлтый"</formula>
    </cfRule>
    <cfRule type="cellIs" rank="0" priority="28" equalAverage="0" operator="equal" aboveAverage="0" dxfId="4" text="" percent="0" bottom="0">
      <formula>"Красный"</formula>
    </cfRule>
    <cfRule type="cellIs" rank="0" priority="29" equalAverage="0" operator="equal" aboveAverage="0" dxfId="5" text="" percent="0" bottom="0">
      <formula>"Н/Д"</formula>
    </cfRule>
  </conditionalFormatting>
  <dataValidations count="11">
    <dataValidation sqref="C2:C400" showDropDown="0" showInputMessage="0" showErrorMessage="0" allowBlank="1" type="list" errorStyle="stop" operator="between">
      <formula1>"Концерт,Танцевальный показ,Медиаторский тур,Выставка,Кинопоказ,Лекция,Прочее"</formula1>
      <formula2>0</formula2>
    </dataValidation>
    <dataValidation sqref="D2:D400" showDropDown="0" showInputMessage="0" showErrorMessage="0" allowBlank="1" type="list" errorStyle="stop" operator="between">
      <formula1>"Лёгкий,Средний,Тяжёлый"</formula1>
      <formula2>0</formula2>
    </dataValidation>
    <dataValidation sqref="H2:H400" showDropDown="0" showInputMessage="0" showErrorMessage="0" allowBlank="1" type="list" errorStyle="stop" operator="between">
      <formula1>"Заявка/утверждение,Бронирование площадки и ресурсов,Продакшн,Маркетинг/PR-план,Финальная неделя,Проведение,Пост-ивент"</formula1>
      <formula2>0</formula2>
    </dataValidation>
    <dataValidation sqref="J2:J400" showDropDown="0" showInputMessage="0" showErrorMessage="0" allowBlank="1" type="list" errorStyle="stop" operator="between">
      <formula1>"Не начат,Зелёный,Жёлтый,Красный,Н/Д"</formula1>
      <formula2>0</formula2>
    </dataValidation>
    <dataValidation sqref="K2:K400" showDropDown="0" showInputMessage="0" showErrorMessage="0" allowBlank="1" type="list" errorStyle="stop" operator="between">
      <formula1>"Не начат,Зелёный,Жёлтый,Красный,Н/Д"</formula1>
      <formula2>0</formula2>
    </dataValidation>
    <dataValidation sqref="L2:L400" showDropDown="0" showInputMessage="0" showErrorMessage="0" allowBlank="1" type="list" errorStyle="stop" operator="between">
      <formula1>"Не начат,Зелёный,Жёлтый,Красный,Н/Д"</formula1>
      <formula2>0</formula2>
    </dataValidation>
    <dataValidation sqref="M2:M400" showDropDown="0" showInputMessage="0" showErrorMessage="0" allowBlank="1" type="list" errorStyle="stop" operator="between">
      <formula1>"Не начат,Зелёный,Жёлтый,Красный,Н/Д"</formula1>
      <formula2>0</formula2>
    </dataValidation>
    <dataValidation sqref="N2:N400" showDropDown="0" showInputMessage="0" showErrorMessage="0" allowBlank="1" type="list" errorStyle="stop" operator="between">
      <formula1>"Не начат,Зелёный,Жёлтый,Красный,Н/Д"</formula1>
      <formula2>0</formula2>
    </dataValidation>
    <dataValidation sqref="I2:I400" showDropDown="0" showInputMessage="0" showErrorMessage="0" allowBlank="1" type="list" errorStyle="stop" operator="between">
      <formula1>"Заявка/утверждение,Бронирование площадки и ресурсов,Продакшн,Маркетинг/PR-план,Финальная неделя,Проведение,Пост-ивент"</formula1>
      <formula2>0</formula2>
    </dataValidation>
    <dataValidation sqref="O2:O400" showDropDown="0" showInputMessage="0" showErrorMessage="0" allowBlank="1" type="list" errorStyle="stop" operator="between">
      <formula1>"Не начат,Зелёный,Жёлтый,Красный,Н/Д"</formula1>
      <formula2>0</formula2>
    </dataValidation>
    <dataValidation sqref="Q2:Q400" showDropDown="0" showInputMessage="0" showErrorMessage="0" allowBlank="1" type="list" errorStyle="stop" operator="between">
      <formula1>"Да,Нет"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1" min="1" max="1"/>
    <col width="26" customWidth="1" style="31" min="2" max="2"/>
    <col width="18" customWidth="1" style="31" min="3" max="4"/>
    <col width="20" customWidth="1" style="31" min="5" max="5"/>
    <col width="40" customWidth="1" style="31" min="6" max="6"/>
  </cols>
  <sheetData>
    <row r="1" ht="30" customHeight="1" s="32">
      <c r="A1" s="69" t="inlineStr">
        <is>
          <t>Трек</t>
        </is>
      </c>
      <c r="B1" s="69" t="inlineStr">
        <is>
          <t>Этап</t>
        </is>
      </c>
      <c r="C1" s="69" t="inlineStr">
        <is>
          <t>Старт (T-минус, дней)</t>
        </is>
      </c>
      <c r="D1" s="69" t="inlineStr">
        <is>
          <t>Дедлайн (T-минус, дней)</t>
        </is>
      </c>
      <c r="E1" s="69" t="inlineStr">
        <is>
          <t>Ответственный (R)</t>
        </is>
      </c>
      <c r="F1" s="69" t="inlineStr">
        <is>
          <t>Комментарий</t>
        </is>
      </c>
    </row>
    <row r="2" ht="25.5" customHeight="1" s="32">
      <c r="A2" s="54" t="inlineStr">
        <is>
          <t>Лёгкий</t>
        </is>
      </c>
      <c r="B2" s="48" t="inlineStr">
        <is>
          <t>Заявка/утверждение</t>
        </is>
      </c>
      <c r="C2" s="48" t="n">
        <v>-45</v>
      </c>
      <c r="D2" s="48" t="n">
        <v>-35</v>
      </c>
      <c r="E2" s="48" t="inlineStr">
        <is>
          <t>Продюсер</t>
        </is>
      </c>
      <c r="F2" s="55" t="inlineStr">
        <is>
          <t>Согласование темы/спикера, бюджет при наличии</t>
        </is>
      </c>
    </row>
    <row r="3" ht="25.5" customHeight="1" s="32">
      <c r="A3" s="54" t="inlineStr">
        <is>
          <t>Лёгкий</t>
        </is>
      </c>
      <c r="B3" s="48" t="inlineStr">
        <is>
          <t>Бронирование площадки и ресурсов</t>
        </is>
      </c>
      <c r="C3" s="48" t="n">
        <v>-34</v>
      </c>
      <c r="D3" s="48" t="n">
        <v>-21</v>
      </c>
      <c r="E3" s="48" t="inlineStr">
        <is>
          <t>Продюсер + Площадка</t>
        </is>
      </c>
      <c r="F3" s="55" t="inlineStr">
        <is>
          <t>Аудитория/зал, техника по минимуму</t>
        </is>
      </c>
    </row>
    <row r="4" ht="25.5" customHeight="1" s="32">
      <c r="A4" s="54" t="inlineStr">
        <is>
          <t>Лёгкий</t>
        </is>
      </c>
      <c r="B4" s="48" t="inlineStr">
        <is>
          <t>Маркетинг/PR-план</t>
        </is>
      </c>
      <c r="C4" s="48" t="n">
        <v>-20</v>
      </c>
      <c r="D4" s="48" t="n">
        <v>-7</v>
      </c>
      <c r="E4" s="48" t="inlineStr">
        <is>
          <t>Маркетинг</t>
        </is>
      </c>
      <c r="F4" s="55" t="inlineStr">
        <is>
          <t>Анонс в календаре и соцсетях, без спецкампании</t>
        </is>
      </c>
    </row>
    <row r="5" ht="25.5" customHeight="1" s="32">
      <c r="A5" s="54" t="inlineStr">
        <is>
          <t>Лёгкий</t>
        </is>
      </c>
      <c r="B5" s="48" t="inlineStr">
        <is>
          <t>Финальная неделя</t>
        </is>
      </c>
      <c r="C5" s="48" t="n">
        <v>-7</v>
      </c>
      <c r="D5" s="48" t="n">
        <v>-1</v>
      </c>
      <c r="E5" s="48" t="inlineStr">
        <is>
          <t>Продюсер</t>
        </is>
      </c>
      <c r="F5" s="55" t="inlineStr">
        <is>
          <t>Финальная сверка тайминга, без брифинга охраны/питания</t>
        </is>
      </c>
    </row>
    <row r="6" ht="25.5" customHeight="1" s="32">
      <c r="A6" s="54" t="inlineStr">
        <is>
          <t>Лёгкий</t>
        </is>
      </c>
      <c r="B6" s="48" t="inlineStr">
        <is>
          <t>Проведение</t>
        </is>
      </c>
      <c r="C6" s="48" t="n">
        <v>0</v>
      </c>
      <c r="D6" s="48" t="n">
        <v>0</v>
      </c>
      <c r="E6" s="48" t="inlineStr">
        <is>
          <t>Продюсер</t>
        </is>
      </c>
      <c r="F6" s="55" t="inlineStr">
        <is>
          <t>—</t>
        </is>
      </c>
    </row>
    <row r="7" ht="25.5" customHeight="1" s="32">
      <c r="A7" s="54" t="inlineStr">
        <is>
          <t>Лёгкий</t>
        </is>
      </c>
      <c r="B7" s="48" t="inlineStr">
        <is>
          <t>Пост-ивент</t>
        </is>
      </c>
      <c r="C7" s="48" t="n">
        <v>1</v>
      </c>
      <c r="D7" s="48" t="n">
        <v>5</v>
      </c>
      <c r="E7" s="48" t="inlineStr">
        <is>
          <t>Продюсер</t>
        </is>
      </c>
      <c r="F7" s="55" t="inlineStr">
        <is>
          <t>Короткий отчёт: явка, обратная связь</t>
        </is>
      </c>
    </row>
    <row r="8" ht="25.5" customHeight="1" s="32">
      <c r="A8" s="54" t="inlineStr">
        <is>
          <t>Средний</t>
        </is>
      </c>
      <c r="B8" s="48" t="inlineStr">
        <is>
          <t>Заявка/утверждение</t>
        </is>
      </c>
      <c r="C8" s="48" t="n">
        <v>-60</v>
      </c>
      <c r="D8" s="48" t="n">
        <v>-45</v>
      </c>
      <c r="E8" s="48" t="inlineStr">
        <is>
          <t>Продюсер</t>
        </is>
      </c>
      <c r="F8" s="55" t="inlineStr">
        <is>
          <t>Согласование концепции и бюджета</t>
        </is>
      </c>
    </row>
    <row r="9" ht="25.5" customHeight="1" s="32">
      <c r="A9" s="54" t="inlineStr">
        <is>
          <t>Средний</t>
        </is>
      </c>
      <c r="B9" s="48" t="inlineStr">
        <is>
          <t>Бронирование площадки и ресурсов</t>
        </is>
      </c>
      <c r="C9" s="48" t="n">
        <v>-44</v>
      </c>
      <c r="D9" s="48" t="n">
        <v>-25</v>
      </c>
      <c r="E9" s="48" t="inlineStr">
        <is>
          <t>Продюсер + Площадка</t>
        </is>
      </c>
      <c r="F9" s="55" t="inlineStr">
        <is>
          <t>Зал/пространство, базовая техника</t>
        </is>
      </c>
    </row>
    <row r="10" ht="25.5" customHeight="1" s="32">
      <c r="A10" s="54" t="inlineStr">
        <is>
          <t>Средний</t>
        </is>
      </c>
      <c r="B10" s="48" t="inlineStr">
        <is>
          <t>Продакшн</t>
        </is>
      </c>
      <c r="C10" s="48" t="n">
        <v>-30</v>
      </c>
      <c r="D10" s="48" t="n">
        <v>-10</v>
      </c>
      <c r="E10" s="48" t="inlineStr">
        <is>
          <t>Продакшн</t>
        </is>
      </c>
      <c r="F10" s="55" t="inlineStr">
        <is>
          <t>Монтаж/техническое обеспечение показа или экспозиции</t>
        </is>
      </c>
    </row>
    <row r="11" ht="25.5" customHeight="1" s="32">
      <c r="A11" s="54" t="inlineStr">
        <is>
          <t>Средний</t>
        </is>
      </c>
      <c r="B11" s="48" t="inlineStr">
        <is>
          <t>Маркетинг/PR-план</t>
        </is>
      </c>
      <c r="C11" s="48" t="n">
        <v>-30</v>
      </c>
      <c r="D11" s="48" t="n">
        <v>-3</v>
      </c>
      <c r="E11" s="48" t="inlineStr">
        <is>
          <t>Маркетинг + PR</t>
        </is>
      </c>
      <c r="F11" s="55" t="inlineStr">
        <is>
          <t>Анонс, пресс-лист при необходимости</t>
        </is>
      </c>
    </row>
    <row r="12" ht="25.5" customHeight="1" s="32">
      <c r="A12" s="54" t="inlineStr">
        <is>
          <t>Средний</t>
        </is>
      </c>
      <c r="B12" s="48" t="inlineStr">
        <is>
          <t>Финальная неделя</t>
        </is>
      </c>
      <c r="C12" s="48" t="n">
        <v>-7</v>
      </c>
      <c r="D12" s="48" t="n">
        <v>-1</v>
      </c>
      <c r="E12" s="48" t="inlineStr">
        <is>
          <t>Продюсер</t>
        </is>
      </c>
      <c r="F12" s="55" t="inlineStr">
        <is>
          <t>Брифинг площадки, проверка готовности зала</t>
        </is>
      </c>
    </row>
    <row r="13" ht="25.5" customHeight="1" s="32">
      <c r="A13" s="54" t="inlineStr">
        <is>
          <t>Средний</t>
        </is>
      </c>
      <c r="B13" s="48" t="inlineStr">
        <is>
          <t>Проведение</t>
        </is>
      </c>
      <c r="C13" s="48" t="n">
        <v>0</v>
      </c>
      <c r="D13" s="48" t="n">
        <v>0</v>
      </c>
      <c r="E13" s="48" t="inlineStr">
        <is>
          <t>Продюсер + Площадка</t>
        </is>
      </c>
      <c r="F13" s="55" t="inlineStr">
        <is>
          <t>—</t>
        </is>
      </c>
    </row>
    <row r="14" ht="25.5" customHeight="1" s="32">
      <c r="A14" s="54" t="inlineStr">
        <is>
          <t>Средний</t>
        </is>
      </c>
      <c r="B14" s="48" t="inlineStr">
        <is>
          <t>Пост-ивент</t>
        </is>
      </c>
      <c r="C14" s="48" t="n">
        <v>1</v>
      </c>
      <c r="D14" s="48" t="n">
        <v>7</v>
      </c>
      <c r="E14" s="48" t="inlineStr">
        <is>
          <t>Продюсер</t>
        </is>
      </c>
      <c r="F14" s="55" t="inlineStr">
        <is>
          <t>Демонтаж, отчёт по посещаемости и медиаохвату</t>
        </is>
      </c>
    </row>
    <row r="15" ht="25.5" customHeight="1" s="32">
      <c r="A15" s="54" t="inlineStr">
        <is>
          <t>Тяжёлый</t>
        </is>
      </c>
      <c r="B15" s="48" t="inlineStr">
        <is>
          <t>Заявка/утверждение</t>
        </is>
      </c>
      <c r="C15" s="48" t="n">
        <v>-90</v>
      </c>
      <c r="D15" s="48" t="n">
        <v>-70</v>
      </c>
      <c r="E15" s="48" t="inlineStr">
        <is>
          <t>Продюсер</t>
        </is>
      </c>
      <c r="F15" s="55" t="inlineStr">
        <is>
          <t>Утверждение концепции, бюджета, состава участников</t>
        </is>
      </c>
    </row>
    <row r="16" ht="25.5" customHeight="1" s="32">
      <c r="A16" s="54" t="inlineStr">
        <is>
          <t>Тяжёлый</t>
        </is>
      </c>
      <c r="B16" s="48" t="inlineStr">
        <is>
          <t>Бронирование площадки и ресурсов</t>
        </is>
      </c>
      <c r="C16" s="48" t="n">
        <v>-69</v>
      </c>
      <c r="D16" s="48" t="n">
        <v>-40</v>
      </c>
      <c r="E16" s="48" t="inlineStr">
        <is>
          <t>Продюсер + Площадка</t>
        </is>
      </c>
      <c r="F16" s="55" t="inlineStr">
        <is>
          <t>Основной зал/двор, расширенная техника</t>
        </is>
      </c>
    </row>
    <row r="17" ht="25.5" customHeight="1" s="32">
      <c r="A17" s="54" t="inlineStr">
        <is>
          <t>Тяжёлый</t>
        </is>
      </c>
      <c r="B17" s="48" t="inlineStr">
        <is>
          <t>Продакшн</t>
        </is>
      </c>
      <c r="C17" s="48" t="n">
        <v>-45</v>
      </c>
      <c r="D17" s="48" t="n">
        <v>-14</v>
      </c>
      <c r="E17" s="48" t="inlineStr">
        <is>
          <t>Продакшн</t>
        </is>
      </c>
      <c r="F17" s="55" t="inlineStr">
        <is>
          <t>Сцена, свет, звук, монтаж экспозиции</t>
        </is>
      </c>
    </row>
    <row r="18" ht="25.5" customHeight="1" s="32">
      <c r="A18" s="54" t="inlineStr">
        <is>
          <t>Тяжёлый</t>
        </is>
      </c>
      <c r="B18" s="48" t="inlineStr">
        <is>
          <t>Маркетинг/PR-план</t>
        </is>
      </c>
      <c r="C18" s="48" t="n">
        <v>-45</v>
      </c>
      <c r="D18" s="48" t="n">
        <v>-5</v>
      </c>
      <c r="E18" s="48" t="inlineStr">
        <is>
          <t>Маркетинг + PR</t>
        </is>
      </c>
      <c r="F18" s="55" t="inlineStr">
        <is>
          <t>Полная кампания: анонс, реклама, пресса, инфлюенсеры</t>
        </is>
      </c>
    </row>
    <row r="19" ht="25.5" customHeight="1" s="32">
      <c r="A19" s="54" t="inlineStr">
        <is>
          <t>Тяжёлый</t>
        </is>
      </c>
      <c r="B19" s="48" t="inlineStr">
        <is>
          <t>Финальная неделя</t>
        </is>
      </c>
      <c r="C19" s="48" t="n">
        <v>-7</v>
      </c>
      <c r="D19" s="48" t="n">
        <v>-1</v>
      </c>
      <c r="E19" s="48" t="inlineStr">
        <is>
          <t>Продюсер</t>
        </is>
      </c>
      <c r="F19" s="55" t="inlineStr">
        <is>
          <t>Брифинг охраны (потоки, зоны), питания (объём, тайминг), площадки, финальный техпрогон</t>
        </is>
      </c>
    </row>
    <row r="20" ht="25.5" customHeight="1" s="32">
      <c r="A20" s="54" t="inlineStr">
        <is>
          <t>Тяжёлый</t>
        </is>
      </c>
      <c r="B20" s="48" t="inlineStr">
        <is>
          <t>Проведение</t>
        </is>
      </c>
      <c r="C20" s="48" t="n">
        <v>0</v>
      </c>
      <c r="D20" s="48" t="n">
        <v>0</v>
      </c>
      <c r="E20" s="48" t="inlineStr">
        <is>
          <t>Все отделы</t>
        </is>
      </c>
      <c r="F20" s="55" t="inlineStr">
        <is>
          <t>Продюсер координирует, охрана/питание/площадка — на месте</t>
        </is>
      </c>
    </row>
    <row r="21" ht="25.5" customHeight="1" s="32">
      <c r="A21" s="54" t="inlineStr">
        <is>
          <t>Тяжёлый</t>
        </is>
      </c>
      <c r="B21" s="48" t="inlineStr">
        <is>
          <t>Пост-ивент</t>
        </is>
      </c>
      <c r="C21" s="48" t="n">
        <v>1</v>
      </c>
      <c r="D21" s="48" t="n">
        <v>10</v>
      </c>
      <c r="E21" s="48" t="inlineStr">
        <is>
          <t>Продюсер</t>
        </is>
      </c>
      <c r="F21" s="55" t="inlineStr">
        <is>
          <t>Демонтаж, разбор инцидентов, отчёт по всем метрикам</t>
        </is>
      </c>
    </row>
    <row r="22"/>
    <row r="23" ht="15" customHeight="1" s="32">
      <c r="A23" s="62" t="inlineStr">
        <is>
          <t>T-минус — количество дней до даты события (отрицательное = до события, 0 = день события, положительное = после).</t>
        </is>
      </c>
    </row>
    <row r="24" ht="15" customHeight="1" s="32">
      <c r="A24" s="62" t="inlineStr">
        <is>
          <t>Сроки — рабочая гипотеза для старта, требуют сверки с реальными регламентами отделов (не факт ГЭС-2).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31" min="1" max="1"/>
    <col width="14" customWidth="1" style="31" min="2" max="8"/>
  </cols>
  <sheetData>
    <row r="1" ht="15" customHeight="1" s="32">
      <c r="A1" s="62" t="inlineStr">
        <is>
          <t>R — ответственный (делает) · A — согласующий (утверждает) · C — консультируют · I — информируют · пусто — не участвует</t>
        </is>
      </c>
    </row>
    <row r="2"/>
    <row r="3" ht="15" customHeight="1" s="32">
      <c r="A3" s="63" t="inlineStr">
        <is>
          <t>Трек: Лёгкий</t>
        </is>
      </c>
      <c r="B3" s="64" t="n"/>
      <c r="C3" s="64" t="n"/>
      <c r="D3" s="64" t="n"/>
      <c r="E3" s="64" t="n"/>
      <c r="F3" s="64" t="n"/>
      <c r="G3" s="64" t="n"/>
      <c r="H3" s="64" t="n"/>
    </row>
    <row r="4" ht="27.75" customHeight="1" s="32">
      <c r="A4" s="70" t="inlineStr">
        <is>
          <t>Этап</t>
        </is>
      </c>
      <c r="B4" s="69" t="inlineStr">
        <is>
          <t>Продюсер</t>
        </is>
      </c>
      <c r="C4" s="69" t="inlineStr">
        <is>
          <t>Маркетинг</t>
        </is>
      </c>
      <c r="D4" s="69" t="inlineStr">
        <is>
          <t>PR</t>
        </is>
      </c>
      <c r="E4" s="69" t="inlineStr">
        <is>
          <t>Площадка</t>
        </is>
      </c>
      <c r="F4" s="69" t="inlineStr">
        <is>
          <t>Питание</t>
        </is>
      </c>
      <c r="G4" s="69" t="inlineStr">
        <is>
          <t>Охрана</t>
        </is>
      </c>
      <c r="H4" s="69" t="inlineStr">
        <is>
          <t>Продакшн/техника</t>
        </is>
      </c>
    </row>
    <row r="5" ht="15" customHeight="1" s="32">
      <c r="A5" s="52" t="inlineStr">
        <is>
          <t>Заявка/утверждение</t>
        </is>
      </c>
      <c r="B5" s="57" t="inlineStr">
        <is>
          <t>R</t>
        </is>
      </c>
      <c r="C5" s="57" t="n"/>
      <c r="D5" s="57" t="n"/>
      <c r="E5" s="57" t="n"/>
      <c r="F5" s="57" t="n"/>
      <c r="G5" s="57" t="n"/>
      <c r="H5" s="57" t="n"/>
    </row>
    <row r="6" ht="15" customHeight="1" s="32">
      <c r="A6" s="52" t="inlineStr">
        <is>
          <t>Бронирование площадки и ресурсов</t>
        </is>
      </c>
      <c r="B6" s="57" t="inlineStr">
        <is>
          <t>A</t>
        </is>
      </c>
      <c r="C6" s="57" t="n"/>
      <c r="D6" s="57" t="n"/>
      <c r="E6" s="57" t="inlineStr">
        <is>
          <t>R</t>
        </is>
      </c>
      <c r="F6" s="57" t="n"/>
      <c r="G6" s="57" t="n"/>
      <c r="H6" s="57" t="n"/>
    </row>
    <row r="7" ht="15" customHeight="1" s="32">
      <c r="A7" s="52" t="inlineStr">
        <is>
          <t>Маркетинг/PR-план</t>
        </is>
      </c>
      <c r="B7" s="57" t="inlineStr">
        <is>
          <t>A</t>
        </is>
      </c>
      <c r="C7" s="57" t="inlineStr">
        <is>
          <t>R</t>
        </is>
      </c>
      <c r="D7" s="57" t="inlineStr">
        <is>
          <t>I</t>
        </is>
      </c>
      <c r="E7" s="57" t="n"/>
      <c r="F7" s="57" t="n"/>
      <c r="G7" s="57" t="n"/>
      <c r="H7" s="57" t="n"/>
    </row>
    <row r="8" ht="15" customHeight="1" s="32">
      <c r="A8" s="52" t="inlineStr">
        <is>
          <t>Финальная неделя</t>
        </is>
      </c>
      <c r="B8" s="57" t="inlineStr">
        <is>
          <t>R</t>
        </is>
      </c>
      <c r="C8" s="57" t="inlineStr">
        <is>
          <t>I</t>
        </is>
      </c>
      <c r="D8" s="57" t="n"/>
      <c r="E8" s="57" t="inlineStr">
        <is>
          <t>I</t>
        </is>
      </c>
      <c r="F8" s="57" t="n"/>
      <c r="G8" s="57" t="n"/>
      <c r="H8" s="57" t="n"/>
    </row>
    <row r="9" ht="15" customHeight="1" s="32">
      <c r="A9" s="52" t="inlineStr">
        <is>
          <t>Проведение</t>
        </is>
      </c>
      <c r="B9" s="57" t="inlineStr">
        <is>
          <t>R</t>
        </is>
      </c>
      <c r="C9" s="57" t="n"/>
      <c r="D9" s="57" t="n"/>
      <c r="E9" s="57" t="inlineStr">
        <is>
          <t>C</t>
        </is>
      </c>
      <c r="F9" s="57" t="n"/>
      <c r="G9" s="57" t="n"/>
      <c r="H9" s="57" t="n"/>
    </row>
    <row r="10" ht="15" customHeight="1" s="32">
      <c r="A10" s="52" t="inlineStr">
        <is>
          <t>Пост-ивент</t>
        </is>
      </c>
      <c r="B10" s="57" t="inlineStr">
        <is>
          <t>R</t>
        </is>
      </c>
      <c r="C10" s="57" t="inlineStr">
        <is>
          <t>I</t>
        </is>
      </c>
      <c r="D10" s="57" t="n"/>
      <c r="E10" s="57" t="n"/>
      <c r="F10" s="57" t="n"/>
      <c r="G10" s="57" t="n"/>
      <c r="H10" s="57" t="n"/>
    </row>
    <row r="11"/>
    <row r="12"/>
    <row r="13" ht="15" customHeight="1" s="32">
      <c r="A13" s="63" t="inlineStr">
        <is>
          <t>Трек: Средний</t>
        </is>
      </c>
      <c r="B13" s="64" t="n"/>
      <c r="C13" s="64" t="n"/>
      <c r="D13" s="64" t="n"/>
      <c r="E13" s="64" t="n"/>
      <c r="F13" s="64" t="n"/>
      <c r="G13" s="64" t="n"/>
      <c r="H13" s="64" t="n"/>
    </row>
    <row r="14" ht="27.75" customHeight="1" s="32">
      <c r="A14" s="70" t="inlineStr">
        <is>
          <t>Этап</t>
        </is>
      </c>
      <c r="B14" s="69" t="inlineStr">
        <is>
          <t>Продюсер</t>
        </is>
      </c>
      <c r="C14" s="69" t="inlineStr">
        <is>
          <t>Маркетинг</t>
        </is>
      </c>
      <c r="D14" s="69" t="inlineStr">
        <is>
          <t>PR</t>
        </is>
      </c>
      <c r="E14" s="69" t="inlineStr">
        <is>
          <t>Площадка</t>
        </is>
      </c>
      <c r="F14" s="69" t="inlineStr">
        <is>
          <t>Питание</t>
        </is>
      </c>
      <c r="G14" s="69" t="inlineStr">
        <is>
          <t>Охрана</t>
        </is>
      </c>
      <c r="H14" s="69" t="inlineStr">
        <is>
          <t>Продакшн/техника</t>
        </is>
      </c>
    </row>
    <row r="15" ht="15" customHeight="1" s="32">
      <c r="A15" s="52" t="inlineStr">
        <is>
          <t>Заявка/утверждение</t>
        </is>
      </c>
      <c r="B15" s="57" t="inlineStr">
        <is>
          <t>R</t>
        </is>
      </c>
      <c r="C15" s="57" t="inlineStr">
        <is>
          <t>C</t>
        </is>
      </c>
      <c r="D15" s="57" t="inlineStr">
        <is>
          <t>C</t>
        </is>
      </c>
      <c r="E15" s="57" t="inlineStr">
        <is>
          <t>C</t>
        </is>
      </c>
      <c r="F15" s="57" t="n"/>
      <c r="G15" s="57" t="n"/>
      <c r="H15" s="57" t="n"/>
    </row>
    <row r="16" ht="15" customHeight="1" s="32">
      <c r="A16" s="52" t="inlineStr">
        <is>
          <t>Бронирование площадки и ресурсов</t>
        </is>
      </c>
      <c r="B16" s="57" t="inlineStr">
        <is>
          <t>A</t>
        </is>
      </c>
      <c r="C16" s="57" t="n"/>
      <c r="D16" s="57" t="n"/>
      <c r="E16" s="57" t="inlineStr">
        <is>
          <t>R</t>
        </is>
      </c>
      <c r="F16" s="57" t="n"/>
      <c r="G16" s="57" t="n"/>
      <c r="H16" s="57" t="inlineStr">
        <is>
          <t>C</t>
        </is>
      </c>
    </row>
    <row r="17" ht="15" customHeight="1" s="32">
      <c r="A17" s="52" t="inlineStr">
        <is>
          <t>Продакшн</t>
        </is>
      </c>
      <c r="B17" s="57" t="inlineStr">
        <is>
          <t>A</t>
        </is>
      </c>
      <c r="C17" s="57" t="n"/>
      <c r="D17" s="57" t="n"/>
      <c r="E17" s="57" t="inlineStr">
        <is>
          <t>C</t>
        </is>
      </c>
      <c r="F17" s="57" t="n"/>
      <c r="G17" s="57" t="n"/>
      <c r="H17" s="57" t="inlineStr">
        <is>
          <t>R</t>
        </is>
      </c>
    </row>
    <row r="18" ht="15" customHeight="1" s="32">
      <c r="A18" s="52" t="inlineStr">
        <is>
          <t>Маркетинг/PR-план</t>
        </is>
      </c>
      <c r="B18" s="57" t="inlineStr">
        <is>
          <t>A</t>
        </is>
      </c>
      <c r="C18" s="57" t="inlineStr">
        <is>
          <t>R</t>
        </is>
      </c>
      <c r="D18" s="57" t="inlineStr">
        <is>
          <t>R</t>
        </is>
      </c>
      <c r="E18" s="57" t="inlineStr">
        <is>
          <t>I</t>
        </is>
      </c>
      <c r="F18" s="57" t="n"/>
      <c r="G18" s="57" t="n"/>
      <c r="H18" s="57" t="n"/>
    </row>
    <row r="19" ht="15" customHeight="1" s="32">
      <c r="A19" s="52" t="inlineStr">
        <is>
          <t>Финальная неделя</t>
        </is>
      </c>
      <c r="B19" s="57" t="inlineStr">
        <is>
          <t>R</t>
        </is>
      </c>
      <c r="C19" s="57" t="inlineStr">
        <is>
          <t>I</t>
        </is>
      </c>
      <c r="D19" s="57" t="inlineStr">
        <is>
          <t>I</t>
        </is>
      </c>
      <c r="E19" s="57" t="inlineStr">
        <is>
          <t>A</t>
        </is>
      </c>
      <c r="F19" s="57" t="inlineStr">
        <is>
          <t>I</t>
        </is>
      </c>
      <c r="G19" s="57" t="inlineStr">
        <is>
          <t>I</t>
        </is>
      </c>
      <c r="H19" s="57" t="inlineStr">
        <is>
          <t>C</t>
        </is>
      </c>
    </row>
    <row r="20" ht="15" customHeight="1" s="32">
      <c r="A20" s="52" t="inlineStr">
        <is>
          <t>Проведение</t>
        </is>
      </c>
      <c r="B20" s="57" t="inlineStr">
        <is>
          <t>R</t>
        </is>
      </c>
      <c r="C20" s="57" t="n"/>
      <c r="D20" s="57" t="n"/>
      <c r="E20" s="57" t="inlineStr">
        <is>
          <t>C</t>
        </is>
      </c>
      <c r="F20" s="57" t="n"/>
      <c r="G20" s="57" t="n"/>
      <c r="H20" s="57" t="inlineStr">
        <is>
          <t>C</t>
        </is>
      </c>
    </row>
    <row r="21" ht="15" customHeight="1" s="32">
      <c r="A21" s="52" t="inlineStr">
        <is>
          <t>Пост-ивент</t>
        </is>
      </c>
      <c r="B21" s="57" t="inlineStr">
        <is>
          <t>R</t>
        </is>
      </c>
      <c r="C21" s="57" t="inlineStr">
        <is>
          <t>C</t>
        </is>
      </c>
      <c r="D21" s="57" t="inlineStr">
        <is>
          <t>C</t>
        </is>
      </c>
      <c r="E21" s="57" t="inlineStr">
        <is>
          <t>I</t>
        </is>
      </c>
      <c r="F21" s="57" t="n"/>
      <c r="G21" s="57" t="n"/>
      <c r="H21" s="57" t="inlineStr">
        <is>
          <t>I</t>
        </is>
      </c>
    </row>
    <row r="22"/>
    <row r="23"/>
    <row r="24" ht="15" customHeight="1" s="32">
      <c r="A24" s="63" t="inlineStr">
        <is>
          <t>Трек: Тяжёлый</t>
        </is>
      </c>
      <c r="B24" s="64" t="n"/>
      <c r="C24" s="64" t="n"/>
      <c r="D24" s="64" t="n"/>
      <c r="E24" s="64" t="n"/>
      <c r="F24" s="64" t="n"/>
      <c r="G24" s="64" t="n"/>
      <c r="H24" s="64" t="n"/>
    </row>
    <row r="25" ht="27.75" customHeight="1" s="32">
      <c r="A25" s="70" t="inlineStr">
        <is>
          <t>Этап</t>
        </is>
      </c>
      <c r="B25" s="69" t="inlineStr">
        <is>
          <t>Продюсер</t>
        </is>
      </c>
      <c r="C25" s="69" t="inlineStr">
        <is>
          <t>Маркетинг</t>
        </is>
      </c>
      <c r="D25" s="69" t="inlineStr">
        <is>
          <t>PR</t>
        </is>
      </c>
      <c r="E25" s="69" t="inlineStr">
        <is>
          <t>Площадка</t>
        </is>
      </c>
      <c r="F25" s="69" t="inlineStr">
        <is>
          <t>Питание</t>
        </is>
      </c>
      <c r="G25" s="69" t="inlineStr">
        <is>
          <t>Охрана</t>
        </is>
      </c>
      <c r="H25" s="69" t="inlineStr">
        <is>
          <t>Продакшн/техника</t>
        </is>
      </c>
    </row>
    <row r="26" ht="15" customHeight="1" s="32">
      <c r="A26" s="52" t="inlineStr">
        <is>
          <t>Заявка/утверждение</t>
        </is>
      </c>
      <c r="B26" s="57" t="inlineStr">
        <is>
          <t>R</t>
        </is>
      </c>
      <c r="C26" s="57" t="inlineStr">
        <is>
          <t>C</t>
        </is>
      </c>
      <c r="D26" s="57" t="inlineStr">
        <is>
          <t>C</t>
        </is>
      </c>
      <c r="E26" s="57" t="inlineStr">
        <is>
          <t>C</t>
        </is>
      </c>
      <c r="F26" s="57" t="inlineStr">
        <is>
          <t>C</t>
        </is>
      </c>
      <c r="G26" s="57" t="inlineStr">
        <is>
          <t>C</t>
        </is>
      </c>
      <c r="H26" s="57" t="inlineStr">
        <is>
          <t>C</t>
        </is>
      </c>
    </row>
    <row r="27" ht="15" customHeight="1" s="32">
      <c r="A27" s="52" t="inlineStr">
        <is>
          <t>Бронирование площадки и ресурсов</t>
        </is>
      </c>
      <c r="B27" s="57" t="inlineStr">
        <is>
          <t>A</t>
        </is>
      </c>
      <c r="C27" s="57" t="n"/>
      <c r="D27" s="57" t="n"/>
      <c r="E27" s="57" t="inlineStr">
        <is>
          <t>R</t>
        </is>
      </c>
      <c r="F27" s="57" t="inlineStr">
        <is>
          <t>I</t>
        </is>
      </c>
      <c r="G27" s="57" t="inlineStr">
        <is>
          <t>I</t>
        </is>
      </c>
      <c r="H27" s="57" t="inlineStr">
        <is>
          <t>C</t>
        </is>
      </c>
    </row>
    <row r="28" ht="15" customHeight="1" s="32">
      <c r="A28" s="52" t="inlineStr">
        <is>
          <t>Продакшн</t>
        </is>
      </c>
      <c r="B28" s="57" t="inlineStr">
        <is>
          <t>A</t>
        </is>
      </c>
      <c r="C28" s="57" t="n"/>
      <c r="D28" s="57" t="n"/>
      <c r="E28" s="57" t="inlineStr">
        <is>
          <t>C</t>
        </is>
      </c>
      <c r="F28" s="57" t="n"/>
      <c r="G28" s="57" t="n"/>
      <c r="H28" s="57" t="inlineStr">
        <is>
          <t>R</t>
        </is>
      </c>
    </row>
    <row r="29" ht="15" customHeight="1" s="32">
      <c r="A29" s="52" t="inlineStr">
        <is>
          <t>Маркетинг/PR-план</t>
        </is>
      </c>
      <c r="B29" s="57" t="inlineStr">
        <is>
          <t>A</t>
        </is>
      </c>
      <c r="C29" s="57" t="inlineStr">
        <is>
          <t>R</t>
        </is>
      </c>
      <c r="D29" s="57" t="inlineStr">
        <is>
          <t>R</t>
        </is>
      </c>
      <c r="E29" s="57" t="inlineStr">
        <is>
          <t>I</t>
        </is>
      </c>
      <c r="F29" s="57" t="n"/>
      <c r="G29" s="57" t="n"/>
      <c r="H29" s="57" t="inlineStr">
        <is>
          <t>I</t>
        </is>
      </c>
    </row>
    <row r="30" ht="15" customHeight="1" s="32">
      <c r="A30" s="52" t="inlineStr">
        <is>
          <t>Финальная неделя</t>
        </is>
      </c>
      <c r="B30" s="57" t="inlineStr">
        <is>
          <t>A</t>
        </is>
      </c>
      <c r="C30" s="57" t="inlineStr">
        <is>
          <t>I</t>
        </is>
      </c>
      <c r="D30" s="57" t="inlineStr">
        <is>
          <t>I</t>
        </is>
      </c>
      <c r="E30" s="57" t="inlineStr">
        <is>
          <t>R</t>
        </is>
      </c>
      <c r="F30" s="57" t="inlineStr">
        <is>
          <t>R</t>
        </is>
      </c>
      <c r="G30" s="57" t="inlineStr">
        <is>
          <t>R</t>
        </is>
      </c>
      <c r="H30" s="57" t="inlineStr">
        <is>
          <t>C</t>
        </is>
      </c>
    </row>
    <row r="31" ht="15" customHeight="1" s="32">
      <c r="A31" s="52" t="inlineStr">
        <is>
          <t>Проведение</t>
        </is>
      </c>
      <c r="B31" s="57" t="inlineStr">
        <is>
          <t>R</t>
        </is>
      </c>
      <c r="C31" s="57" t="inlineStr">
        <is>
          <t>I</t>
        </is>
      </c>
      <c r="D31" s="57" t="inlineStr">
        <is>
          <t>I</t>
        </is>
      </c>
      <c r="E31" s="57" t="inlineStr">
        <is>
          <t>C</t>
        </is>
      </c>
      <c r="F31" s="57" t="inlineStr">
        <is>
          <t>C</t>
        </is>
      </c>
      <c r="G31" s="57" t="inlineStr">
        <is>
          <t>C</t>
        </is>
      </c>
      <c r="H31" s="57" t="inlineStr">
        <is>
          <t>C</t>
        </is>
      </c>
    </row>
    <row r="32" ht="15" customHeight="1" s="32">
      <c r="A32" s="52" t="inlineStr">
        <is>
          <t>Пост-ивент</t>
        </is>
      </c>
      <c r="B32" s="57" t="inlineStr">
        <is>
          <t>R</t>
        </is>
      </c>
      <c r="C32" s="57" t="inlineStr">
        <is>
          <t>C</t>
        </is>
      </c>
      <c r="D32" s="57" t="inlineStr">
        <is>
          <t>C</t>
        </is>
      </c>
      <c r="E32" s="57" t="inlineStr">
        <is>
          <t>C</t>
        </is>
      </c>
      <c r="F32" s="57" t="inlineStr">
        <is>
          <t>C</t>
        </is>
      </c>
      <c r="G32" s="57" t="inlineStr">
        <is>
          <t>C</t>
        </is>
      </c>
      <c r="H32" s="57" t="inlineStr">
        <is>
          <t>C</t>
        </is>
      </c>
    </row>
    <row r="33"/>
    <row r="34"/>
    <row r="35" ht="15" customHeight="1" s="32">
      <c r="A35" s="62" t="inlineStr">
        <is>
          <t>Состав RACI — стартовая гипотеза, требует проверки с отделами (особенно точки A — кто реально утверждает переход к следующему этапу).</t>
        </is>
      </c>
    </row>
  </sheetData>
  <mergeCells count="2">
    <mergeCell ref="A1:H1"/>
    <mergeCell ref="A35:H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31" min="1" max="1"/>
    <col width="14" customWidth="1" style="31" min="2" max="5"/>
  </cols>
  <sheetData>
    <row r="1" ht="19.7" customHeight="1" s="32">
      <c r="A1" s="61" t="inlineStr">
        <is>
          <t>Дашборд по реестру событий</t>
        </is>
      </c>
    </row>
    <row r="2" ht="15" customHeight="1" s="32">
      <c r="A2" s="62" t="inlineStr">
        <is>
          <t>Считается автоматически из листа 'Реестр событий' (формулы COUNTIF/COUNTIFS).</t>
        </is>
      </c>
    </row>
    <row r="3"/>
    <row r="4" ht="15" customHeight="1" s="32">
      <c r="A4" s="37" t="inlineStr">
        <is>
          <t>Всего событий в реестре</t>
        </is>
      </c>
      <c r="B4" s="39">
        <f>COUNTA('Реестр событий'!B2:B400)</f>
        <v/>
      </c>
    </row>
    <row r="5" ht="15" customHeight="1" s="32">
      <c r="A5" s="39" t="inlineStr">
        <is>
          <t>из них уже идут сейчас (статус по датам)</t>
        </is>
      </c>
      <c r="B5" s="39">
        <f>COUNTIF('Реестр событий'!I2:I400,"Проведение")</f>
        <v/>
      </c>
    </row>
    <row r="6" ht="15" customHeight="1" s="32">
      <c r="A6" s="39" t="inlineStr">
        <is>
          <t>из них ещё не начались</t>
        </is>
      </c>
      <c r="B6" s="39">
        <f>COUNTIFS('Реестр событий'!I2:I400,"&lt;&gt;Проведение",'Реестр событий'!I2:I400,"&lt;&gt;Пост-ивент",'Реестр событий'!B2:B400,"&lt;&gt;")</f>
        <v/>
      </c>
    </row>
    <row r="7"/>
    <row r="8" ht="15" customHeight="1" s="32">
      <c r="A8" s="63" t="inlineStr">
        <is>
          <t>По трекам</t>
        </is>
      </c>
      <c r="B8" s="64" t="n"/>
    </row>
    <row r="9" ht="15" customHeight="1" s="32">
      <c r="A9" s="39" t="inlineStr">
        <is>
          <t>Лёгкий</t>
        </is>
      </c>
      <c r="B9" s="39">
        <f>COUNTIF('Реестр событий'!D2:D400,"Лёгкий")</f>
        <v/>
      </c>
    </row>
    <row r="10" ht="15" customHeight="1" s="32">
      <c r="A10" s="39" t="inlineStr">
        <is>
          <t>Средний</t>
        </is>
      </c>
      <c r="B10" s="39">
        <f>COUNTIF('Реестр событий'!D2:D400,"Средний")</f>
        <v/>
      </c>
    </row>
    <row r="11" ht="15" customHeight="1" s="32">
      <c r="A11" s="39" t="inlineStr">
        <is>
          <t>Тяжёлый</t>
        </is>
      </c>
      <c r="B11" s="39">
        <f>COUNTIF('Реестр событий'!D2:D400,"Тяжёлый")</f>
        <v/>
      </c>
    </row>
    <row r="12"/>
    <row r="13" ht="15" customHeight="1" s="32">
      <c r="A13" s="63" t="inlineStr">
        <is>
          <t>По общему статусу (заполняется отделами)</t>
        </is>
      </c>
      <c r="B13" s="64" t="n"/>
    </row>
    <row r="14" ht="15" customHeight="1" s="32">
      <c r="A14" s="65" t="inlineStr">
        <is>
          <t>Зелёный</t>
        </is>
      </c>
      <c r="B14" s="71">
        <f>COUNTIF('Реестр событий'!P2:P400,"Зелёный")</f>
        <v/>
      </c>
    </row>
    <row r="15" ht="15" customHeight="1" s="32">
      <c r="A15" s="66" t="inlineStr">
        <is>
          <t>Жёлтый</t>
        </is>
      </c>
      <c r="B15" s="72">
        <f>COUNTIF('Реестр событий'!P2:P400,"Жёлтый")</f>
        <v/>
      </c>
    </row>
    <row r="16" ht="15" customHeight="1" s="32">
      <c r="A16" s="67" t="inlineStr">
        <is>
          <t>Красный</t>
        </is>
      </c>
      <c r="B16" s="73">
        <f>COUNTIF('Реестр событий'!P2:P400,"Красный")</f>
        <v/>
      </c>
    </row>
    <row r="17" ht="15" customHeight="1" s="32">
      <c r="A17" s="39" t="inlineStr">
        <is>
          <t>Не начат</t>
        </is>
      </c>
      <c r="B17" s="39">
        <f>COUNTIF('Реестр событий'!P2:P400,"Не начат")</f>
        <v/>
      </c>
    </row>
    <row r="18" ht="15" customHeight="1" s="32">
      <c r="A18" s="39" t="inlineStr">
        <is>
          <t>Статус ещё не проставлен</t>
        </is>
      </c>
      <c r="B18" s="39">
        <f>COUNTIFS('Реестр событий'!P2:P400,"",'Реестр событий'!B2:B400,"&lt;&gt;")</f>
        <v/>
      </c>
    </row>
    <row r="19"/>
    <row r="20" ht="15" customHeight="1" s="32">
      <c r="A20" s="63" t="inlineStr">
        <is>
          <t>Событий с 'Красный' по отделу</t>
        </is>
      </c>
      <c r="B20" s="64" t="n"/>
    </row>
    <row r="21" ht="15" customHeight="1" s="32">
      <c r="A21" s="39" t="inlineStr">
        <is>
          <t>Продакшн/техника</t>
        </is>
      </c>
      <c r="B21" s="39">
        <f>COUNTIF('Реестр событий'!J2:J400,"Красный")</f>
        <v/>
      </c>
    </row>
    <row r="22" ht="15" customHeight="1" s="32">
      <c r="A22" s="39" t="inlineStr">
        <is>
          <t>Маркетинг</t>
        </is>
      </c>
      <c r="B22" s="39">
        <f>COUNTIF('Реестр событий'!K2:K400,"Красный")</f>
        <v/>
      </c>
    </row>
    <row r="23" ht="15" customHeight="1" s="32">
      <c r="A23" s="39" t="inlineStr">
        <is>
          <t>PR</t>
        </is>
      </c>
      <c r="B23" s="39">
        <f>COUNTIF('Реестр событий'!L2:L400,"Красный")</f>
        <v/>
      </c>
    </row>
    <row r="24" ht="15" customHeight="1" s="32">
      <c r="A24" s="39" t="inlineStr">
        <is>
          <t>Площадка</t>
        </is>
      </c>
      <c r="B24" s="39">
        <f>COUNTIF('Реестр событий'!M2:M400,"Красный")</f>
        <v/>
      </c>
    </row>
    <row r="25" ht="15" customHeight="1" s="32">
      <c r="A25" s="39" t="inlineStr">
        <is>
          <t>Питание</t>
        </is>
      </c>
      <c r="B25" s="39">
        <f>COUNTIF('Реестр событий'!N2:N400,"Красный")</f>
        <v/>
      </c>
    </row>
    <row r="26" ht="15" customHeight="1" s="32">
      <c r="A26" s="39" t="inlineStr">
        <is>
          <t>Охрана</t>
        </is>
      </c>
      <c r="B26" s="39">
        <f>COUNTIF('Реестр событий'!O2:O400,"Красный")</f>
        <v/>
      </c>
    </row>
    <row r="27"/>
    <row r="28" ht="15" customHeight="1" s="32">
      <c r="A28" s="37" t="inlineStr">
        <is>
          <t>В финальной неделе с 'Красный' статусом (нужна эскалация)</t>
        </is>
      </c>
    </row>
    <row r="29" ht="15" customHeight="1" s="32">
      <c r="A29" s="39" t="inlineStr">
        <is>
          <t>Событий</t>
        </is>
      </c>
      <c r="B29" s="39">
        <f>COUNTIFS('Реестр событий'!I2:I400,"Финальная неделя",'Реестр событий'!P2:P400,"Красный")</f>
        <v/>
      </c>
    </row>
    <row r="30"/>
    <row r="31" ht="15" customHeight="1" s="32">
      <c r="A31" s="63" t="inlineStr">
        <is>
          <t>Ближайшие крупные операционные точки</t>
        </is>
      </c>
      <c r="B31" s="64" t="n"/>
    </row>
    <row r="32" ht="15" customHeight="1" s="32">
      <c r="A32" s="39" t="inlineStr">
        <is>
          <t>Событий с примечанием-предупреждением (столбец 'Риски/комментарий')</t>
        </is>
      </c>
      <c r="B32" s="39">
        <f>COUNTIF('Реестр событий'!R2:R400,"?*")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2026-08-09T08:54:06Z</dcterms:created>
  <dcterms:modified xsi:type="dcterms:W3CDTF">2026-08-09T16:15:31Z</dcterms:modified>
  <cp:revision>0</cp:revision>
</cp:coreProperties>
</file>